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65"/>
  </bookViews>
  <sheets>
    <sheet name="0523-需求列表" sheetId="1" r:id="rId1"/>
    <sheet name="需求澄清列表" sheetId="3" r:id="rId2"/>
    <sheet name="验收列表" sheetId="4" r:id="rId3"/>
    <sheet name="排期晾晒" sheetId="6" r:id="rId4"/>
  </sheets>
  <definedNames>
    <definedName name="_xlnm._FilterDatabase" localSheetId="0" hidden="1">'0523-需求列表'!$A$1:$U$60</definedName>
    <definedName name="_xlnm._FilterDatabase" localSheetId="1" hidden="1">需求澄清列表!$A$2:$X$69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<sst xmlns="http://schemas.openxmlformats.org/spreadsheetml/2006/main" count="637" uniqueCount="316">
  <si>
    <t>所属部门</t>
  </si>
  <si>
    <t>需求编号</t>
  </si>
  <si>
    <t>需求名</t>
  </si>
  <si>
    <t>需求描述</t>
  </si>
  <si>
    <t>境内/外类别</t>
  </si>
  <si>
    <t>一级分类
(品种分类)</t>
  </si>
  <si>
    <t>二级分类
（品种子类型）</t>
  </si>
  <si>
    <t>三级分类(模块)</t>
  </si>
  <si>
    <t>所属中心</t>
  </si>
  <si>
    <t>所属团队</t>
  </si>
  <si>
    <t>需求提出人</t>
  </si>
  <si>
    <t>固收产品经理</t>
  </si>
  <si>
    <t>优先级</t>
  </si>
  <si>
    <t>IT产品经理
（牵头）</t>
  </si>
  <si>
    <t>IT技术负责人
（牵头）</t>
  </si>
  <si>
    <t>重点项目标签</t>
  </si>
  <si>
    <t>需求是否准入</t>
  </si>
  <si>
    <t>是否纳入交付</t>
  </si>
  <si>
    <t>预估迭代</t>
  </si>
  <si>
    <t>【0523迭代】交付内容</t>
  </si>
  <si>
    <t>备注</t>
  </si>
  <si>
    <t>香港金控FICC</t>
  </si>
  <si>
    <t>FICCHEADS-1180</t>
  </si>
  <si>
    <t>港交所外汇期货做市交易系统建设需求说明书</t>
  </si>
  <si>
    <t>境外</t>
  </si>
  <si>
    <t>外汇</t>
  </si>
  <si>
    <t>外汇期货</t>
  </si>
  <si>
    <t>交易链路</t>
  </si>
  <si>
    <t>做市业务中心</t>
  </si>
  <si>
    <t>外汇做市台</t>
  </si>
  <si>
    <t>赵鸿达</t>
  </si>
  <si>
    <t>在研-优先级0</t>
  </si>
  <si>
    <t>吴克易琼</t>
  </si>
  <si>
    <t>王轮樟</t>
  </si>
  <si>
    <t>【海外交易能力建设】香港外汇期货做市项目</t>
  </si>
  <si>
    <t>是</t>
  </si>
  <si>
    <t>预计0704迭代完成交付</t>
  </si>
  <si>
    <t>启动对冲交易链路相关功能开发，完成FSS平台外部对接和联调工作。</t>
  </si>
  <si>
    <t>固定收益部</t>
  </si>
  <si>
    <t>FICCHEADS-1140</t>
  </si>
  <si>
    <t>债券ETF业务系统需求说明书（二期）：二级交易</t>
  </si>
  <si>
    <t>实现债券ETF交易链路建设中二级交易功能。</t>
  </si>
  <si>
    <t>境内</t>
  </si>
  <si>
    <t>基金</t>
  </si>
  <si>
    <t>债券ETF</t>
  </si>
  <si>
    <t>自营业务中心</t>
  </si>
  <si>
    <t>信用交易台</t>
  </si>
  <si>
    <t>韩玲</t>
  </si>
  <si>
    <t>曾慧聪</t>
  </si>
  <si>
    <t>戚挺</t>
  </si>
  <si>
    <t>无</t>
  </si>
  <si>
    <t>预计0704迭代之后完成交付</t>
  </si>
  <si>
    <t>一、交易链路部分
1、出入池流程；
2、月度授权；
二、风险管理部分
期限风险、风控总览、盈亏监控、归因运行、自营日报、资金成本适配</t>
  </si>
  <si>
    <t>FICCHEADS-1189</t>
  </si>
  <si>
    <t>美国国债做市系统需求</t>
  </si>
  <si>
    <t>1. 对冲端连接城堡基金接口， 接入对冲端渠道的行情信息
2. 报价端连接彭博等渠道，策略报价能够报至ALLQ等渠道
3. 大象报价面板支持进行对美国国债的策略报价和策略对冲平盘
4. 大象询价回复面板和类似功能支持进行客户询价的策略/人工询价回复
5. 支持查询订单、成交、持仓、PnL、风险等相关报表信息</t>
  </si>
  <si>
    <t>债券</t>
  </si>
  <si>
    <t>美国国债</t>
  </si>
  <si>
    <t>外币债券做市台</t>
  </si>
  <si>
    <t>启动彭博对客报价相关功能开发、完成城堡证券报价行情接入、解析，以及与彭博报价接口对接工作。</t>
  </si>
  <si>
    <t>FICCHEADS-1194</t>
  </si>
  <si>
    <t>金控FICC期货（港交所外汇期货）前台交易簿记需求</t>
  </si>
  <si>
    <t>本需求为前台交易簿记需求，针对港交所外汇期货所涉及的前台交易簿记，拟进行整体建设，包括交易簿记、持仓管理、风险管理、估值模型及现金流计算、账户管理等。</t>
  </si>
  <si>
    <t>期货</t>
  </si>
  <si>
    <t>交易簿记</t>
  </si>
  <si>
    <t>大象平台产品团队</t>
  </si>
  <si>
    <t>1、启动风险指标监控功能开发，实现事后风险指标实时计算与展示。
2、启动损益、估值、Delta等相关功能开发，完成组合综合监控和敏感度监控功能基本框架搭建。
3、成交数据同步给Retina</t>
  </si>
  <si>
    <t>FICCHEADS-1197</t>
  </si>
  <si>
    <t>外币回购大象开发需求</t>
  </si>
  <si>
    <t>新开发外币回购业务模块，但需求目前还在审核，尚未提交</t>
  </si>
  <si>
    <t>回购</t>
  </si>
  <si>
    <t>外币回购</t>
  </si>
  <si>
    <t>流动性管理中心</t>
  </si>
  <si>
    <t>—</t>
  </si>
  <si>
    <t>成楠</t>
  </si>
  <si>
    <t>交付下单页面相关计算及下单事前校验（足额抵押校验、质押券总额校验（前端判断）、回购额度校验、单月到期规模校验）</t>
  </si>
  <si>
    <t>FICCHEADS-1110</t>
  </si>
  <si>
    <t>OCI账户持仓减值计算方案调整需求说明书</t>
  </si>
  <si>
    <t>对以摊余成本计量的债券、以公允价值计量且其变动计入其他综合收益的债券的减值计算方法进行调整。</t>
  </si>
  <si>
    <t>综合</t>
  </si>
  <si>
    <t>风险管理</t>
  </si>
  <si>
    <t>账户管理</t>
  </si>
  <si>
    <t>自营交易五台</t>
  </si>
  <si>
    <t>姚忠兵</t>
  </si>
  <si>
    <t>预计0523迭代完成交付</t>
  </si>
  <si>
    <t>OCI账户债券减值报表</t>
  </si>
  <si>
    <t>牵头技术负责人在【3月20日】已确认</t>
  </si>
  <si>
    <t>FICCHEADS-1193</t>
  </si>
  <si>
    <t>OCI账户报表需求</t>
  </si>
  <si>
    <t>针对OCI账户下的持仓，因计算方式和其他账户不同，支持相关字段的计算及展示以及报表查询导出功能。</t>
  </si>
  <si>
    <t>交易后</t>
  </si>
  <si>
    <t>吴凡</t>
  </si>
  <si>
    <t>自营业务中心1</t>
  </si>
  <si>
    <t>刘佩金</t>
  </si>
  <si>
    <t>预计0613迭代完成交付</t>
  </si>
  <si>
    <t>1、完成OCI类持仓的指标计量与日间监控；
2、支持日终报表的生成和推送</t>
  </si>
  <si>
    <t>FICCHEADS-1175</t>
  </si>
  <si>
    <t>股指期货预埋触发单功能（重提）</t>
  </si>
  <si>
    <t>大象支持时间条件、价格条件等智能条件算法</t>
  </si>
  <si>
    <t>股指期货</t>
  </si>
  <si>
    <t>自营交易七台</t>
  </si>
  <si>
    <t>武晨宇</t>
  </si>
  <si>
    <t>自营业务中心2</t>
  </si>
  <si>
    <t>钱高翔</t>
  </si>
  <si>
    <t>陈治平</t>
  </si>
  <si>
    <t>1.完成与业务产品方案沟通确认
2.后端完成新策略框架准备</t>
  </si>
  <si>
    <t>FICCHEADS-1192</t>
  </si>
  <si>
    <t>商品期权做市大象相关组合管理、风险建设需求</t>
  </si>
  <si>
    <t>为配合使用自主研发的低延时商品期权做市系统（xtrader）替代同余这一外采系统，提升交易性能与响应效率，我们提出大象相关组合管理、风险建设需求。
本需求包括配合商品期权做市开展所涉及大象系统的用户权限管理、风险参数配置、成交以及组合风险分析相关的数据同步与报表计算展示等内容</t>
  </si>
  <si>
    <t>期权</t>
  </si>
  <si>
    <t>商品期权</t>
  </si>
  <si>
    <t>利率衍生品交易台</t>
  </si>
  <si>
    <t>做市业务中心1</t>
  </si>
  <si>
    <t>许可</t>
  </si>
  <si>
    <t>FICCHEADS-1151</t>
  </si>
  <si>
    <t>国债期货做市业务监控提醒功能需求</t>
  </si>
  <si>
    <t>新增大象系统对国债期货合约实时参与率不足的弹窗提醒和铃客消息提醒。</t>
  </si>
  <si>
    <t>国债期货</t>
  </si>
  <si>
    <t>做市义务监控</t>
  </si>
  <si>
    <t>本币做市台</t>
  </si>
  <si>
    <t>做市业务中心2</t>
  </si>
  <si>
    <t>否</t>
  </si>
  <si>
    <t>本迭代无法启动后续重新排期</t>
  </si>
  <si>
    <t>FICCHEADS-1188</t>
  </si>
  <si>
    <t>多资产组合交易功能开发需求</t>
  </si>
  <si>
    <t xml:space="preserve">多资产组合交易是指客户同时交易场外期权和收益互换等资产组合的交易场景。平台支持业务人员配置客户组合交易簿，并支持组合实时风险盯市、交易事前风控、资金管理及出入金推送运营等功能， </t>
  </si>
  <si>
    <t>场外衍生品</t>
  </si>
  <si>
    <t>多资产</t>
  </si>
  <si>
    <t>场外</t>
  </si>
  <si>
    <t>代客业务中心</t>
  </si>
  <si>
    <t>褚悦珊</t>
  </si>
  <si>
    <t>代客业务中心1</t>
  </si>
  <si>
    <t>夏清</t>
  </si>
  <si>
    <t>张弦</t>
  </si>
  <si>
    <t>FICCHEADS-1184</t>
  </si>
  <si>
    <t>收益互换支持挂钩加拿大多伦多交易所和美国BATS交易所权益品种</t>
  </si>
  <si>
    <t>为满足客户交易需求，场外衍生品平台收益互换新增支持美国BATS证券交易所、加拿大多伦多证券交易所的权益品种，以上交易适用目前场外衍生品平台的风控规则（包括实时和日终风控），并支持合约自动生成、估值、实时/日终盯市等合约全生命周期管理</t>
  </si>
  <si>
    <t>场外收益互换</t>
  </si>
  <si>
    <t>多资产创新产品团队</t>
  </si>
  <si>
    <t>代客业务中心2</t>
  </si>
  <si>
    <t>FICCHEADS-983</t>
  </si>
  <si>
    <t>支持产品更换管理人功能</t>
  </si>
  <si>
    <t>在年度资质更新场景支持前端增加产品切换管理人/管理人平移的选项，系统不固定管理人ECIFID，根据流程中填写的管理人重新派发ID。办结后系统更新产品所属管理人的关系。</t>
  </si>
  <si>
    <t>销售业务</t>
  </si>
  <si>
    <t>销售管理</t>
  </si>
  <si>
    <t>销售业务中心</t>
  </si>
  <si>
    <t>代客销售团队</t>
  </si>
  <si>
    <t>陈思宇</t>
  </si>
  <si>
    <t>销售业务中心1</t>
  </si>
  <si>
    <t>胡于凡</t>
  </si>
  <si>
    <t>依赖OB评估方案和排期</t>
  </si>
  <si>
    <t>FICCHEADS-832</t>
  </si>
  <si>
    <t>客户白名单对接合规部明辨系统需求</t>
  </si>
  <si>
    <t>支持获取基金业协会定期公布的产品规模不满足1000万元的产品列表，与当前场外衍生品客户白名单进行匹对，若匹对成功，则将该客户自动移出白名单，同时给对接销售，销售管理员，以及对应的产品人员发送铃客提醒。</t>
  </si>
  <si>
    <t>客户准入</t>
  </si>
  <si>
    <t>销售业务中心2</t>
  </si>
  <si>
    <t>FICCHEADS-885</t>
  </si>
  <si>
    <t>支持统一尽调预审功能及审核人员修正录入错误功能建设需求</t>
  </si>
  <si>
    <t>大象销售平台新增预审流程发起入口，内嵌OB预审界面，并根据当前审批情况给销售人员触发相应待办任务，对于预审流程中的证照材料问题支持修正录入。</t>
  </si>
  <si>
    <t>销售业务中心3</t>
  </si>
  <si>
    <t>需求需要澄清，OB目前没有资源配合</t>
  </si>
  <si>
    <t>FICCHEADS-955</t>
  </si>
  <si>
    <t>票据业务持仓占用规则调整</t>
  </si>
  <si>
    <t>将票据业务持仓额度占用纳入固收常规限额体系内。</t>
  </si>
  <si>
    <t>票据</t>
  </si>
  <si>
    <t>转贴现和正回购</t>
  </si>
  <si>
    <t>流动性管理中心1</t>
  </si>
  <si>
    <t>交付主体持仓限额、单券持仓限额风控规则</t>
  </si>
  <si>
    <t>FICCHEADS-1177</t>
  </si>
  <si>
    <t>票据支持部分成交场景</t>
  </si>
  <si>
    <t>支持中央交易室执行人员在交易执行环节反馈部分成交的场景，由交易员确认成交后更新可用额度</t>
  </si>
  <si>
    <t>流动性管理中心2</t>
  </si>
  <si>
    <t>FICCHEADS-1199</t>
  </si>
  <si>
    <t>集中债券借贷系统需求</t>
  </si>
  <si>
    <t>1、实现集中债券借贷在大象系统的交易链路；
2、实现包括中央券池中债券管理、库存查询、存续期管理等相关报表的自动统计。</t>
  </si>
  <si>
    <t>债券借贷</t>
  </si>
  <si>
    <t>融资台</t>
  </si>
  <si>
    <t>流动性管理中心3</t>
  </si>
  <si>
    <t>FICCHEADS-1202</t>
  </si>
  <si>
    <t>REITs品种在大象展示及查询</t>
  </si>
  <si>
    <t>目前，REITs品种已在O32/O45系统中进行相关簿记。为实现REITs品种的统一管理与风险监控，大象系统每日日初同步衡泰和O32的持仓数据时，需将Reits品种的持仓数据纳入，并实现在持仓管理、授权额度管理、盈亏监控等界面进行持仓展示、限额占用和损益计算，以支持集中化的监控与决策。</t>
  </si>
  <si>
    <t>风险合规中心</t>
  </si>
  <si>
    <t>风险管理团队</t>
  </si>
  <si>
    <t>王逸</t>
  </si>
  <si>
    <t>风险合规中心1</t>
  </si>
  <si>
    <t>沟通中</t>
  </si>
  <si>
    <t>交易链路持仓接入相关工作：
1、RDS：提供REITs基金子类的分类；
2、持仓：对接O45接入REITs日初持仓；
3、成交：对接O45接入REITs日间成交（非大象直连下单）；</t>
  </si>
  <si>
    <t>待交易链路评估工作量；</t>
  </si>
  <si>
    <t>FICCHEADS-1200</t>
  </si>
  <si>
    <t>关于CAMS评级数据批量查询功能的开发</t>
  </si>
  <si>
    <t>该需求的核心开发为，新建一个独立界面以满足CAMS评级数据批量查询的功能，该界面置于Headsbos中的“证券池管理”下属即可。数据范围为CAMS每日推送的全量债券池数据，相应的数据不做是否评级有效的筛选，只将CAMS债券池的全部数据于此界面展示。功能界面权限设定为风险管理团队全员。</t>
  </si>
  <si>
    <t>信用风险</t>
  </si>
  <si>
    <t>风险合规中心2</t>
  </si>
  <si>
    <t>中央交易室</t>
  </si>
  <si>
    <t>IT需求申请央20251028572539-1</t>
  </si>
  <si>
    <t>债券借贷直联本币上行</t>
  </si>
  <si>
    <t>现状：上游发大象指令到交易室交易员大象账号，交易室导出excel，导入本币
期望：上游交易员发大象指令，直连本币（类似本币的现券交易）</t>
  </si>
  <si>
    <t>借贷</t>
  </si>
  <si>
    <t>银行间借贷</t>
  </si>
  <si>
    <t>张语蕙</t>
  </si>
  <si>
    <t>交易链路持续开发</t>
  </si>
  <si>
    <t>资金运营部</t>
  </si>
  <si>
    <t>IT需求申请资运20251224590060-9</t>
  </si>
  <si>
    <t>外币拆借业务模块开发</t>
  </si>
  <si>
    <t>根据外币拆借业务开展的需求，开发外币拆借交易功能开发</t>
  </si>
  <si>
    <t>拆借</t>
  </si>
  <si>
    <t>外币拆借</t>
  </si>
  <si>
    <t>杨畅</t>
  </si>
  <si>
    <t>下单页面及交易链路启动开发</t>
  </si>
  <si>
    <t>IT需求申请资运20251224590060-4</t>
  </si>
  <si>
    <t>交易所回购量化策略（从基础到进阶）</t>
  </si>
  <si>
    <t>基于对交易所回购历史数据的分析和量化策略的研究，借助金融模型分析和公司大象交易平台、AI平台赋能，完成交易所回购交易的量化策略构建。基础功能是通过模型尝试实现每日交易机会的捕捉和提示；进阶功能是尝试实现每日交易所回购的量化自动下单等。</t>
  </si>
  <si>
    <t>支持目标一的研究</t>
  </si>
  <si>
    <t>IT需求申请央20251028572539-2</t>
  </si>
  <si>
    <t>质押式回购RFQ直联本币上行</t>
  </si>
  <si>
    <t>现状：上游发大象指令到交易室交易员大象账号，中央交易室发起报价请求量，待对方回复价后，中央交易室交易员借助RPA机器人录入债券后发单
期望1：针对固收部交易，上游交易员发大象指令，直连本币（类似本币的回购-对话交易）
期望2：针对资运部交易，上游交易员发大象指令到交易室大象账号，交易室交易员参与流程，以中央交易室的本币账号成交。（中央交易室的执行交易员角色类似资运回购-对话交易中北京执行交易员）</t>
  </si>
  <si>
    <t>中央交易室-优先级1</t>
  </si>
  <si>
    <t>分割行，此行下方为内生性需求（含产品优化和技术内生）</t>
  </si>
  <si>
    <t>信息技术部</t>
  </si>
  <si>
    <t>月度授权流程启动迁移</t>
  </si>
  <si>
    <t>FICC交易平台中心</t>
  </si>
  <si>
    <t>平台架构</t>
  </si>
  <si>
    <t>姜玉珠</t>
  </si>
  <si>
    <t>毕成功</t>
  </si>
  <si>
    <t xml:space="preserve"> AURORA平台优化及HAB整合</t>
  </si>
  <si>
    <t>策略管理</t>
  </si>
  <si>
    <t>FICC策略平台整合项目</t>
  </si>
  <si>
    <t>预计0613迭代之后完成交付</t>
  </si>
  <si>
    <t>LAMP持续优化</t>
  </si>
  <si>
    <t>胡于凡/刘佩金</t>
  </si>
  <si>
    <t>FICC人工智能专项项目</t>
  </si>
  <si>
    <t>内部优化</t>
  </si>
  <si>
    <t>Centos80-&gt;Centso79策略迁移（非常用部分策略）</t>
  </si>
  <si>
    <t>Turingx集群job_manager迁移</t>
  </si>
  <si>
    <t>大象国际版中英翻译存量校正</t>
  </si>
  <si>
    <t>针对目前存量已进行中英翻译的字段，部分翻译不准确的字段进行修正。</t>
  </si>
  <si>
    <t>孙玉涵</t>
  </si>
  <si>
    <t>张俊</t>
  </si>
  <si>
    <t>资金部美债Calypso替代需求</t>
  </si>
  <si>
    <t>支持从TOMS感知内部交易簿记并推送成交流水给Galaxy；</t>
  </si>
  <si>
    <t>待定</t>
  </si>
  <si>
    <t>迭代规划</t>
  </si>
  <si>
    <t>需求描述（0523迭代）</t>
  </si>
  <si>
    <t>研发反馈（截止日：澄清日+2个工作日）</t>
  </si>
  <si>
    <t>境内/境外</t>
  </si>
  <si>
    <t>概要（*）</t>
  </si>
  <si>
    <t>所属业务台</t>
  </si>
  <si>
    <t>IT产品经理（牵头）</t>
  </si>
  <si>
    <t>IT技术负责人（牵头）</t>
  </si>
  <si>
    <t>产品模块</t>
  </si>
  <si>
    <t>承接产品经理</t>
  </si>
  <si>
    <t>前端应用</t>
  </si>
  <si>
    <t>需求内容</t>
  </si>
  <si>
    <t>IT jira编号</t>
  </si>
  <si>
    <t>IT Jira名称</t>
  </si>
  <si>
    <t>需求文档</t>
  </si>
  <si>
    <t>需求评审</t>
  </si>
  <si>
    <t>测试要求</t>
  </si>
  <si>
    <t>交付要求</t>
  </si>
  <si>
    <t>迭代周期</t>
  </si>
  <si>
    <t>后端研发承接人</t>
  </si>
  <si>
    <t>前端研发承接人</t>
  </si>
  <si>
    <t>研发备注</t>
  </si>
  <si>
    <t>固收部【境内】</t>
  </si>
  <si>
    <r>
      <rPr>
        <sz val="12"/>
        <color rgb="FF000000"/>
        <rFont val="微软雅黑"/>
        <charset val="134"/>
      </rPr>
      <t>发给</t>
    </r>
    <r>
      <rPr>
        <sz val="12"/>
        <color rgb="FFFF0000"/>
        <rFont val="微软雅黑"/>
        <charset val="134"/>
      </rPr>
      <t>固收部</t>
    </r>
    <r>
      <rPr>
        <sz val="12"/>
        <color rgb="FF000000"/>
        <rFont val="微软雅黑"/>
        <charset val="134"/>
      </rPr>
      <t>验收清单需包含的列头</t>
    </r>
  </si>
  <si>
    <t>每次发版评审，额外所需列头</t>
  </si>
  <si>
    <r>
      <rPr>
        <b/>
        <sz val="12"/>
        <color rgb="FF000000"/>
        <rFont val="微软雅黑"/>
        <charset val="134"/>
      </rPr>
      <t xml:space="preserve">需求归属
</t>
    </r>
    <r>
      <rPr>
        <b/>
        <sz val="12"/>
        <color rgb="FFFF0000"/>
        <rFont val="微软雅黑"/>
        <charset val="134"/>
      </rPr>
      <t>【产品确认】</t>
    </r>
  </si>
  <si>
    <r>
      <rPr>
        <b/>
        <sz val="12"/>
        <color rgb="FF000000"/>
        <rFont val="微软雅黑"/>
        <charset val="134"/>
      </rPr>
      <t xml:space="preserve">验收人
</t>
    </r>
    <r>
      <rPr>
        <b/>
        <sz val="12"/>
        <color rgb="FFFF0000"/>
        <rFont val="微软雅黑"/>
        <charset val="134"/>
      </rPr>
      <t>【产品确认】</t>
    </r>
  </si>
  <si>
    <r>
      <rPr>
        <b/>
        <sz val="12"/>
        <color rgb="FF000000"/>
        <rFont val="微软雅黑"/>
        <charset val="134"/>
      </rPr>
      <t xml:space="preserve">业务需求编号
</t>
    </r>
    <r>
      <rPr>
        <b/>
        <sz val="12"/>
        <color rgb="FFFF0000"/>
        <rFont val="微软雅黑"/>
        <charset val="134"/>
      </rPr>
      <t>【产品确认】</t>
    </r>
  </si>
  <si>
    <t>产品jira</t>
  </si>
  <si>
    <t>概要</t>
  </si>
  <si>
    <t>业务验收内容</t>
  </si>
  <si>
    <t>经办人</t>
  </si>
  <si>
    <r>
      <rPr>
        <b/>
        <sz val="12"/>
        <color rgb="FF000000"/>
        <rFont val="微软雅黑"/>
        <charset val="134"/>
      </rPr>
      <t xml:space="preserve">产品验收状态
</t>
    </r>
    <r>
      <rPr>
        <b/>
        <sz val="12"/>
        <color rgb="FFFF0000"/>
        <rFont val="微软雅黑"/>
        <charset val="134"/>
      </rPr>
      <t>【产品确认】</t>
    </r>
  </si>
  <si>
    <r>
      <rPr>
        <b/>
        <sz val="12"/>
        <color rgb="FF000000"/>
        <rFont val="微软雅黑"/>
        <charset val="134"/>
      </rPr>
      <t xml:space="preserve">是否完整交付
</t>
    </r>
    <r>
      <rPr>
        <b/>
        <sz val="12"/>
        <color rgb="FFFF0000"/>
        <rFont val="微软雅黑"/>
        <charset val="134"/>
      </rPr>
      <t>【产品确认】</t>
    </r>
  </si>
  <si>
    <t>是否业务验收</t>
  </si>
  <si>
    <t>需求提出部门</t>
  </si>
  <si>
    <t>运维关注</t>
  </si>
  <si>
    <t>生产环境配置</t>
  </si>
  <si>
    <t>周一验证</t>
  </si>
  <si>
    <t>固收部【境外】</t>
  </si>
  <si>
    <r>
      <rPr>
        <sz val="12"/>
        <color rgb="FF000000"/>
        <rFont val="微软雅黑"/>
        <charset val="134"/>
      </rPr>
      <t>发给</t>
    </r>
    <r>
      <rPr>
        <sz val="12"/>
        <color rgb="FFFF0000"/>
        <rFont val="微软雅黑"/>
        <charset val="134"/>
      </rPr>
      <t>资运部</t>
    </r>
    <r>
      <rPr>
        <sz val="12"/>
        <color rgb="FF000000"/>
        <rFont val="微软雅黑"/>
        <charset val="134"/>
      </rPr>
      <t>验收清单需包含的列头</t>
    </r>
  </si>
  <si>
    <t>阶段</t>
  </si>
  <si>
    <t>日期</t>
  </si>
  <si>
    <t>工作事项（计划）</t>
  </si>
  <si>
    <t>进展总结</t>
  </si>
  <si>
    <t>项目组工作</t>
  </si>
  <si>
    <t>产品团队</t>
  </si>
  <si>
    <t>研发团队</t>
  </si>
  <si>
    <t>BRD评估阶段</t>
  </si>
  <si>
    <t>各业务部门需求收集和登记
明确需求技术牵头人</t>
  </si>
  <si>
    <t>登记产品优化需求
明确需求产品牵头人
筛选BRD未达到准入条件的需求列表</t>
  </si>
  <si>
    <r>
      <rPr>
        <b/>
        <sz val="11"/>
        <color rgb="FF000000"/>
        <rFont val="微软雅黑"/>
        <charset val="134"/>
      </rPr>
      <t xml:space="preserve">一、进展总结
1. 需求收集：共有24条业务需求:
</t>
    </r>
    <r>
      <rPr>
        <sz val="11"/>
        <color rgb="FF000000"/>
        <rFont val="微软雅黑"/>
        <charset val="134"/>
      </rPr>
      <t>a. 固收部境内外共20条需求（</t>
    </r>
    <r>
      <rPr>
        <sz val="11"/>
        <color rgb="FFFF0000"/>
        <rFont val="微软雅黑"/>
        <charset val="134"/>
      </rPr>
      <t>14条</t>
    </r>
    <r>
      <rPr>
        <sz val="11"/>
        <color rgb="FF000000"/>
        <rFont val="微软雅黑"/>
        <charset val="134"/>
      </rPr>
      <t>新需求+</t>
    </r>
    <r>
      <rPr>
        <sz val="11"/>
        <color rgb="FFFF0000"/>
        <rFont val="微软雅黑"/>
        <charset val="134"/>
      </rPr>
      <t>6条</t>
    </r>
    <r>
      <rPr>
        <sz val="11"/>
        <color rgb="FF000000"/>
        <rFont val="微软雅黑"/>
        <charset val="134"/>
      </rPr>
      <t>在研需求）。
b. 中央交易室&amp;资金运营部共4条需求(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 23条需求（</t>
    </r>
    <r>
      <rPr>
        <b/>
        <sz val="11"/>
        <color rgb="FFFF0000"/>
        <rFont val="微软雅黑"/>
        <charset val="134"/>
      </rPr>
      <t>96%</t>
    </r>
    <r>
      <rPr>
        <sz val="11"/>
        <color rgb="FF000000"/>
        <rFont val="微软雅黑"/>
        <charset val="134"/>
      </rPr>
      <t>）已分配牵头产品经理，24条需求（</t>
    </r>
    <r>
      <rPr>
        <b/>
        <sz val="11"/>
        <color rgb="FFFF0000"/>
        <rFont val="微软雅黑"/>
        <charset val="134"/>
      </rPr>
      <t>100%</t>
    </r>
    <r>
      <rPr>
        <sz val="11"/>
        <color rgb="FF000000"/>
        <rFont val="微软雅黑"/>
        <charset val="134"/>
      </rPr>
      <t>）已分配牵头技术负责人。
d. 内生性需求已收集</t>
    </r>
    <r>
      <rPr>
        <b/>
        <sz val="11"/>
        <color rgb="FFFF0000"/>
        <rFont val="微软雅黑"/>
        <charset val="134"/>
      </rPr>
      <t>5</t>
    </r>
    <r>
      <rPr>
        <sz val="11"/>
        <color rgb="FF000000"/>
        <rFont val="微软雅黑"/>
        <charset val="134"/>
      </rPr>
      <t xml:space="preserve">条。
2. </t>
    </r>
    <r>
      <rPr>
        <b/>
        <sz val="11"/>
        <color rgb="FF000000"/>
        <rFont val="微软雅黑"/>
        <charset val="134"/>
      </rPr>
      <t>BRD准入评估：</t>
    </r>
    <r>
      <rPr>
        <sz val="11"/>
        <color rgb="FF000000"/>
        <rFont val="微软雅黑"/>
        <charset val="134"/>
      </rPr>
      <t>已确定9条需求满足BRD准入标准。评估完成率</t>
    </r>
    <r>
      <rPr>
        <b/>
        <sz val="11"/>
        <color rgb="FFFF0000"/>
        <rFont val="微软雅黑"/>
        <charset val="134"/>
      </rPr>
      <t>38%</t>
    </r>
    <r>
      <rPr>
        <sz val="11"/>
        <color rgb="FF000000"/>
        <rFont val="微软雅黑"/>
        <charset val="134"/>
      </rPr>
      <t>（=9/24）
3</t>
    </r>
    <r>
      <rPr>
        <b/>
        <sz val="11"/>
        <color rgb="FF000000"/>
        <rFont val="微软雅黑"/>
        <charset val="134"/>
      </rPr>
      <t>. 需求纳入评估</t>
    </r>
    <r>
      <rPr>
        <sz val="11"/>
        <color rgb="FF000000"/>
        <rFont val="微软雅黑"/>
        <charset val="134"/>
      </rPr>
      <t>：9条拟纳入，14条待评估，需求纳入评估完成百分比</t>
    </r>
    <r>
      <rPr>
        <b/>
        <sz val="11"/>
        <color rgb="FFFF0000"/>
        <rFont val="微软雅黑"/>
        <charset val="134"/>
      </rPr>
      <t>38%</t>
    </r>
    <r>
      <rPr>
        <sz val="11"/>
        <color rgb="FF000000"/>
        <rFont val="微软雅黑"/>
        <charset val="134"/>
      </rPr>
      <t>（=9/24）。
4</t>
    </r>
    <r>
      <rPr>
        <b/>
        <sz val="11"/>
        <color rgb="FF000000"/>
        <rFont val="微软雅黑"/>
        <charset val="134"/>
      </rPr>
      <t xml:space="preserve">. 预估迭代评估：
</t>
    </r>
    <r>
      <rPr>
        <sz val="11"/>
        <color rgb="FF000000"/>
        <rFont val="微软雅黑"/>
        <charset val="134"/>
      </rPr>
      <t>a. 针对9条拟纳入需求，已完成0条（</t>
    </r>
    <r>
      <rPr>
        <b/>
        <sz val="11"/>
        <color rgb="FFFF0000"/>
        <rFont val="微软雅黑"/>
        <charset val="134"/>
      </rPr>
      <t>0%</t>
    </r>
    <r>
      <rPr>
        <sz val="11"/>
        <color rgb="FF000000"/>
        <rFont val="微软雅黑"/>
        <charset val="134"/>
      </rPr>
      <t>）需求的预估迭代评估；已完成0条（</t>
    </r>
    <r>
      <rPr>
        <b/>
        <sz val="11"/>
        <color rgb="FFFF0000"/>
        <rFont val="微软雅黑"/>
        <charset val="134"/>
      </rPr>
      <t>0%</t>
    </r>
    <r>
      <rPr>
        <sz val="11"/>
        <color rgb="FF000000"/>
        <rFont val="微软雅黑"/>
        <charset val="134"/>
      </rPr>
      <t>）需求的0523具体交付内容填写。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</si>
  <si>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需求收集：共有24条业务需求:
</t>
    </r>
    <r>
      <rPr>
        <sz val="11"/>
        <color rgb="FF000000"/>
        <rFont val="微软雅黑"/>
        <charset val="134"/>
      </rPr>
      <t>a. 固收部境内外共20条需求（</t>
    </r>
    <r>
      <rPr>
        <sz val="11"/>
        <color rgb="FFFF0000"/>
        <rFont val="微软雅黑"/>
        <charset val="134"/>
      </rPr>
      <t>14条</t>
    </r>
    <r>
      <rPr>
        <sz val="11"/>
        <color rgb="FF000000"/>
        <rFont val="微软雅黑"/>
        <charset val="134"/>
      </rPr>
      <t>新需求+</t>
    </r>
    <r>
      <rPr>
        <sz val="11"/>
        <color rgb="FFFF0000"/>
        <rFont val="微软雅黑"/>
        <charset val="134"/>
      </rPr>
      <t>6条</t>
    </r>
    <r>
      <rPr>
        <sz val="11"/>
        <color rgb="FF000000"/>
        <rFont val="微软雅黑"/>
        <charset val="134"/>
      </rPr>
      <t>在研需求）。
b. 中央交易室&amp;资金运营部共4条需求(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 已有24条需求（</t>
    </r>
    <r>
      <rPr>
        <b/>
        <sz val="11"/>
        <color rgb="FFFF0000"/>
        <rFont val="微软雅黑"/>
        <charset val="134"/>
      </rPr>
      <t>100%</t>
    </r>
    <r>
      <rPr>
        <sz val="11"/>
        <color rgb="FF000000"/>
        <rFont val="微软雅黑"/>
        <charset val="134"/>
      </rPr>
      <t>）完成牵头产品经理填写，24条需求（</t>
    </r>
    <r>
      <rPr>
        <b/>
        <sz val="11"/>
        <color rgb="FFFF0000"/>
        <rFont val="微软雅黑"/>
        <charset val="134"/>
      </rPr>
      <t>100%</t>
    </r>
    <r>
      <rPr>
        <sz val="11"/>
        <color rgb="FF000000"/>
        <rFont val="微软雅黑"/>
        <charset val="134"/>
      </rPr>
      <t>）完成技术负责人填写。
d. 内生性需求已收集</t>
    </r>
    <r>
      <rPr>
        <b/>
        <sz val="11"/>
        <color rgb="FFFF0000"/>
        <rFont val="微软雅黑"/>
        <charset val="134"/>
      </rPr>
      <t>5</t>
    </r>
    <r>
      <rPr>
        <sz val="11"/>
        <color rgb="FF000000"/>
        <rFont val="微软雅黑"/>
        <charset val="134"/>
      </rPr>
      <t xml:space="preserve">条。
2. </t>
    </r>
    <r>
      <rPr>
        <b/>
        <sz val="11"/>
        <color rgb="FF000000"/>
        <rFont val="微软雅黑"/>
        <charset val="134"/>
      </rPr>
      <t>BRD准入评估：</t>
    </r>
    <r>
      <rPr>
        <sz val="11"/>
        <color rgb="FF000000"/>
        <rFont val="微软雅黑"/>
        <charset val="134"/>
      </rPr>
      <t>已确定11条需求满足BRD准入标准。评估完成率</t>
    </r>
    <r>
      <rPr>
        <b/>
        <sz val="11"/>
        <color rgb="FFFF0000"/>
        <rFont val="微软雅黑"/>
        <charset val="134"/>
      </rPr>
      <t>46%</t>
    </r>
    <r>
      <rPr>
        <sz val="11"/>
        <color rgb="FF000000"/>
        <rFont val="微软雅黑"/>
        <charset val="134"/>
      </rPr>
      <t>（=11/24）
3</t>
    </r>
    <r>
      <rPr>
        <b/>
        <sz val="11"/>
        <color rgb="FF000000"/>
        <rFont val="微软雅黑"/>
        <charset val="134"/>
      </rPr>
      <t>. 需求纳入评估</t>
    </r>
    <r>
      <rPr>
        <sz val="11"/>
        <color rgb="FF000000"/>
        <rFont val="微软雅黑"/>
        <charset val="134"/>
      </rPr>
      <t>：11条拟纳入，13条待评估，需求纳入评估完成百分比</t>
    </r>
    <r>
      <rPr>
        <b/>
        <sz val="11"/>
        <color rgb="FFFF0000"/>
        <rFont val="微软雅黑"/>
        <charset val="134"/>
      </rPr>
      <t>46%</t>
    </r>
    <r>
      <rPr>
        <sz val="11"/>
        <color rgb="FF000000"/>
        <rFont val="微软雅黑"/>
        <charset val="134"/>
      </rPr>
      <t>（=11/24）。
4</t>
    </r>
    <r>
      <rPr>
        <b/>
        <sz val="11"/>
        <color rgb="FF000000"/>
        <rFont val="微软雅黑"/>
        <charset val="134"/>
      </rPr>
      <t xml:space="preserve">. 预估迭代评估：
</t>
    </r>
    <r>
      <rPr>
        <sz val="11"/>
        <color rgb="FF000000"/>
        <rFont val="微软雅黑"/>
        <charset val="134"/>
      </rPr>
      <t>a. 针对11条拟纳入需求，已完成11条（</t>
    </r>
    <r>
      <rPr>
        <b/>
        <sz val="11"/>
        <color rgb="FFFF0000"/>
        <rFont val="微软雅黑"/>
        <charset val="134"/>
      </rPr>
      <t>100%</t>
    </r>
    <r>
      <rPr>
        <sz val="11"/>
        <color rgb="FF000000"/>
        <rFont val="微软雅黑"/>
        <charset val="134"/>
      </rPr>
      <t>）需求的预估迭代评估；已完成6条（</t>
    </r>
    <r>
      <rPr>
        <b/>
        <sz val="11"/>
        <color rgb="FFFF0000"/>
        <rFont val="微软雅黑"/>
        <charset val="134"/>
      </rPr>
      <t>55%</t>
    </r>
    <r>
      <rPr>
        <sz val="11"/>
        <color rgb="FF000000"/>
        <rFont val="微软雅黑"/>
        <charset val="134"/>
      </rPr>
      <t>）需求的0523具体交付内容填写。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</si>
  <si>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需求收集：共有24条业务需求:
</t>
    </r>
    <r>
      <rPr>
        <sz val="11"/>
        <color rgb="FF000000"/>
        <rFont val="微软雅黑"/>
        <charset val="134"/>
      </rPr>
      <t>a. 固收部境内外共20条需求（</t>
    </r>
    <r>
      <rPr>
        <sz val="11"/>
        <color rgb="FFFF0000"/>
        <rFont val="微软雅黑"/>
        <charset val="134"/>
      </rPr>
      <t>14条</t>
    </r>
    <r>
      <rPr>
        <sz val="11"/>
        <color rgb="FF000000"/>
        <rFont val="微软雅黑"/>
        <charset val="134"/>
      </rPr>
      <t>新需求+</t>
    </r>
    <r>
      <rPr>
        <sz val="11"/>
        <color rgb="FFFF0000"/>
        <rFont val="微软雅黑"/>
        <charset val="134"/>
      </rPr>
      <t>6条</t>
    </r>
    <r>
      <rPr>
        <sz val="11"/>
        <color rgb="FF000000"/>
        <rFont val="微软雅黑"/>
        <charset val="134"/>
      </rPr>
      <t>在研需求）。
b. 中央交易室&amp;资金运营部共4条需求(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 已有24条需求（</t>
    </r>
    <r>
      <rPr>
        <b/>
        <sz val="11"/>
        <color rgb="FFFF0000"/>
        <rFont val="微软雅黑"/>
        <charset val="134"/>
      </rPr>
      <t>100%</t>
    </r>
    <r>
      <rPr>
        <sz val="11"/>
        <color rgb="FF000000"/>
        <rFont val="微软雅黑"/>
        <charset val="134"/>
      </rPr>
      <t>）完成牵头产品经理填写，24条需求（</t>
    </r>
    <r>
      <rPr>
        <b/>
        <sz val="11"/>
        <color rgb="FFFF0000"/>
        <rFont val="微软雅黑"/>
        <charset val="134"/>
      </rPr>
      <t>100%</t>
    </r>
    <r>
      <rPr>
        <sz val="11"/>
        <color rgb="FF000000"/>
        <rFont val="微软雅黑"/>
        <charset val="134"/>
      </rPr>
      <t>）完成技术负责人填写。
d. 内生性需求已收集</t>
    </r>
    <r>
      <rPr>
        <b/>
        <sz val="11"/>
        <color rgb="FFFF0000"/>
        <rFont val="微软雅黑"/>
        <charset val="134"/>
      </rPr>
      <t>6</t>
    </r>
    <r>
      <rPr>
        <sz val="11"/>
        <color rgb="FF000000"/>
        <rFont val="微软雅黑"/>
        <charset val="134"/>
      </rPr>
      <t xml:space="preserve">条。
2. </t>
    </r>
    <r>
      <rPr>
        <b/>
        <sz val="11"/>
        <color rgb="FF000000"/>
        <rFont val="微软雅黑"/>
        <charset val="134"/>
      </rPr>
      <t>BRD准入评估：</t>
    </r>
    <r>
      <rPr>
        <sz val="11"/>
        <color rgb="FF000000"/>
        <rFont val="微软雅黑"/>
        <charset val="134"/>
      </rPr>
      <t>已确定16条需求满足BRD准入标准。评估完成率</t>
    </r>
    <r>
      <rPr>
        <b/>
        <sz val="11"/>
        <color rgb="FFFF0000"/>
        <rFont val="微软雅黑"/>
        <charset val="134"/>
      </rPr>
      <t>67%</t>
    </r>
    <r>
      <rPr>
        <sz val="11"/>
        <color rgb="FF000000"/>
        <rFont val="微软雅黑"/>
        <charset val="134"/>
      </rPr>
      <t>（=16/24）
3</t>
    </r>
    <r>
      <rPr>
        <b/>
        <sz val="11"/>
        <color rgb="FF000000"/>
        <rFont val="微软雅黑"/>
        <charset val="134"/>
      </rPr>
      <t>. 需求纳入评估</t>
    </r>
    <r>
      <rPr>
        <sz val="11"/>
        <color rgb="FF000000"/>
        <rFont val="微软雅黑"/>
        <charset val="134"/>
      </rPr>
      <t>：13条拟纳入，3条不纳入，8条待评估，需求纳入评估完成百分比</t>
    </r>
    <r>
      <rPr>
        <b/>
        <sz val="11"/>
        <color rgb="FFFF0000"/>
        <rFont val="微软雅黑"/>
        <charset val="134"/>
      </rPr>
      <t>67%</t>
    </r>
    <r>
      <rPr>
        <sz val="11"/>
        <color rgb="FF000000"/>
        <rFont val="微软雅黑"/>
        <charset val="134"/>
      </rPr>
      <t>（=16/24）。
4</t>
    </r>
    <r>
      <rPr>
        <b/>
        <sz val="11"/>
        <color rgb="FF000000"/>
        <rFont val="微软雅黑"/>
        <charset val="134"/>
      </rPr>
      <t xml:space="preserve">. 预估迭代评估：
</t>
    </r>
    <r>
      <rPr>
        <sz val="11"/>
        <color rgb="FF000000"/>
        <rFont val="微软雅黑"/>
        <charset val="134"/>
      </rPr>
      <t>a. 针对13条拟纳入需求，已完成13条（</t>
    </r>
    <r>
      <rPr>
        <b/>
        <sz val="11"/>
        <color rgb="FFFF0000"/>
        <rFont val="微软雅黑"/>
        <charset val="134"/>
      </rPr>
      <t>100%</t>
    </r>
    <r>
      <rPr>
        <sz val="11"/>
        <color rgb="FF000000"/>
        <rFont val="微软雅黑"/>
        <charset val="134"/>
      </rPr>
      <t>）需求的预估迭代评估；已完成13条（</t>
    </r>
    <r>
      <rPr>
        <b/>
        <sz val="11"/>
        <color rgb="FFFF0000"/>
        <rFont val="微软雅黑"/>
        <charset val="134"/>
      </rPr>
      <t>100%</t>
    </r>
    <r>
      <rPr>
        <sz val="11"/>
        <color rgb="FF000000"/>
        <rFont val="微软雅黑"/>
        <charset val="134"/>
      </rPr>
      <t>）需求的0523具体交付内容填写。
b.针对3条不纳入需求，已完成3条（</t>
    </r>
    <r>
      <rPr>
        <b/>
        <sz val="11"/>
        <color rgb="FFFF0000"/>
        <rFont val="微软雅黑"/>
        <charset val="134"/>
      </rPr>
      <t>100%</t>
    </r>
    <r>
      <rPr>
        <sz val="11"/>
        <color rgb="FF000000"/>
        <rFont val="微软雅黑"/>
        <charset val="134"/>
      </rPr>
      <t>）预估迭代信息填写，已完成0条（</t>
    </r>
    <r>
      <rPr>
        <b/>
        <sz val="11"/>
        <color rgb="FFFF0000"/>
        <rFont val="微软雅黑"/>
        <charset val="134"/>
      </rPr>
      <t>0%</t>
    </r>
    <r>
      <rPr>
        <sz val="11"/>
        <color rgb="FF000000"/>
        <rFont val="微软雅黑"/>
        <charset val="134"/>
      </rPr>
      <t>）不纳入理由填写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</si>
  <si>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需求收集：共有24条业务需求:
</t>
    </r>
    <r>
      <rPr>
        <sz val="11"/>
        <color rgb="FF000000"/>
        <rFont val="微软雅黑"/>
        <charset val="134"/>
      </rPr>
      <t>a. 固收部境内外共20条需求（</t>
    </r>
    <r>
      <rPr>
        <sz val="11"/>
        <color rgb="FFFF0000"/>
        <rFont val="微软雅黑"/>
        <charset val="134"/>
      </rPr>
      <t>14条</t>
    </r>
    <r>
      <rPr>
        <sz val="11"/>
        <color rgb="FF000000"/>
        <rFont val="微软雅黑"/>
        <charset val="134"/>
      </rPr>
      <t>新需求+</t>
    </r>
    <r>
      <rPr>
        <sz val="11"/>
        <color rgb="FFFF0000"/>
        <rFont val="微软雅黑"/>
        <charset val="134"/>
      </rPr>
      <t>6条</t>
    </r>
    <r>
      <rPr>
        <sz val="11"/>
        <color rgb="FF000000"/>
        <rFont val="微软雅黑"/>
        <charset val="134"/>
      </rPr>
      <t>在研需求）。
b. 中央交易室&amp;资金运营部共4条需求(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 已有24条需求（</t>
    </r>
    <r>
      <rPr>
        <b/>
        <sz val="11"/>
        <color rgb="FFFF0000"/>
        <rFont val="微软雅黑"/>
        <charset val="134"/>
      </rPr>
      <t>100%</t>
    </r>
    <r>
      <rPr>
        <sz val="11"/>
        <color rgb="FF000000"/>
        <rFont val="微软雅黑"/>
        <charset val="134"/>
      </rPr>
      <t>）完成牵头产品经理填写，24条需求（</t>
    </r>
    <r>
      <rPr>
        <b/>
        <sz val="11"/>
        <color rgb="FFFF0000"/>
        <rFont val="微软雅黑"/>
        <charset val="134"/>
      </rPr>
      <t>100%</t>
    </r>
    <r>
      <rPr>
        <sz val="11"/>
        <color rgb="FF000000"/>
        <rFont val="微软雅黑"/>
        <charset val="134"/>
      </rPr>
      <t>）完成技术负责人填写。
d. 内生性需求已收集</t>
    </r>
    <r>
      <rPr>
        <b/>
        <sz val="11"/>
        <color rgb="FFFF0000"/>
        <rFont val="微软雅黑"/>
        <charset val="134"/>
      </rPr>
      <t>6</t>
    </r>
    <r>
      <rPr>
        <sz val="11"/>
        <color rgb="FF000000"/>
        <rFont val="微软雅黑"/>
        <charset val="134"/>
      </rPr>
      <t xml:space="preserve">条。
2. </t>
    </r>
    <r>
      <rPr>
        <b/>
        <sz val="11"/>
        <color rgb="FF000000"/>
        <rFont val="微软雅黑"/>
        <charset val="134"/>
      </rPr>
      <t>BRD准入评估：</t>
    </r>
    <r>
      <rPr>
        <sz val="11"/>
        <color rgb="FF000000"/>
        <rFont val="微软雅黑"/>
        <charset val="134"/>
      </rPr>
      <t>已确定16条需求满足BRD准入标准。评估完成率</t>
    </r>
    <r>
      <rPr>
        <b/>
        <sz val="11"/>
        <color rgb="FFFF0000"/>
        <rFont val="微软雅黑"/>
        <charset val="134"/>
      </rPr>
      <t>67%</t>
    </r>
    <r>
      <rPr>
        <sz val="11"/>
        <color rgb="FF000000"/>
        <rFont val="微软雅黑"/>
        <charset val="134"/>
      </rPr>
      <t>（=16/24）
3</t>
    </r>
    <r>
      <rPr>
        <b/>
        <sz val="11"/>
        <color rgb="FF000000"/>
        <rFont val="微软雅黑"/>
        <charset val="134"/>
      </rPr>
      <t>. 需求纳入评估</t>
    </r>
    <r>
      <rPr>
        <sz val="11"/>
        <color rgb="FF000000"/>
        <rFont val="微软雅黑"/>
        <charset val="134"/>
      </rPr>
      <t>：13条拟纳入，3条不纳入，8条待评估，需求纳入评估完成百分比</t>
    </r>
    <r>
      <rPr>
        <b/>
        <sz val="11"/>
        <color rgb="FFFF0000"/>
        <rFont val="微软雅黑"/>
        <charset val="134"/>
      </rPr>
      <t>67%</t>
    </r>
    <r>
      <rPr>
        <sz val="11"/>
        <color rgb="FF000000"/>
        <rFont val="微软雅黑"/>
        <charset val="134"/>
      </rPr>
      <t>（=16/24）。
4</t>
    </r>
    <r>
      <rPr>
        <b/>
        <sz val="11"/>
        <color rgb="FF000000"/>
        <rFont val="微软雅黑"/>
        <charset val="134"/>
      </rPr>
      <t xml:space="preserve">. 预估迭代评估：
</t>
    </r>
    <r>
      <rPr>
        <sz val="11"/>
        <color rgb="FF000000"/>
        <rFont val="微软雅黑"/>
        <charset val="134"/>
      </rPr>
      <t>a. 针对13条拟纳入需求，已完成13条（</t>
    </r>
    <r>
      <rPr>
        <b/>
        <sz val="11"/>
        <color rgb="FFFF0000"/>
        <rFont val="微软雅黑"/>
        <charset val="134"/>
      </rPr>
      <t>100%</t>
    </r>
    <r>
      <rPr>
        <sz val="11"/>
        <color rgb="FF000000"/>
        <rFont val="微软雅黑"/>
        <charset val="134"/>
      </rPr>
      <t>）需求的预估迭代评估；已完成13条（</t>
    </r>
    <r>
      <rPr>
        <b/>
        <sz val="11"/>
        <color rgb="FFFF0000"/>
        <rFont val="微软雅黑"/>
        <charset val="134"/>
      </rPr>
      <t>100%</t>
    </r>
    <r>
      <rPr>
        <sz val="11"/>
        <color rgb="FF000000"/>
        <rFont val="微软雅黑"/>
        <charset val="134"/>
      </rPr>
      <t>）需求的0523具体交付内容填写。
b.针对3条不纳入需求，已完成3条（</t>
    </r>
    <r>
      <rPr>
        <b/>
        <sz val="11"/>
        <color rgb="FFFF0000"/>
        <rFont val="微软雅黑"/>
        <charset val="134"/>
      </rPr>
      <t>100%</t>
    </r>
    <r>
      <rPr>
        <sz val="11"/>
        <color rgb="FF000000"/>
        <rFont val="微软雅黑"/>
        <charset val="134"/>
      </rPr>
      <t>）预估迭代信息填写，已完成0条（</t>
    </r>
    <r>
      <rPr>
        <b/>
        <sz val="11"/>
        <color rgb="FFFF0000"/>
        <rFont val="微软雅黑"/>
        <charset val="134"/>
      </rPr>
      <t>0%</t>
    </r>
    <r>
      <rPr>
        <sz val="11"/>
        <color rgb="FF000000"/>
        <rFont val="微软雅黑"/>
        <charset val="134"/>
      </rPr>
      <t xml:space="preserve">）不纳入理由填写
</t>
    </r>
    <r>
      <rPr>
        <b/>
        <sz val="11"/>
        <color rgb="FF000000"/>
        <rFont val="微软雅黑"/>
        <charset val="134"/>
      </rPr>
      <t>5. 技术负责人确认：</t>
    </r>
    <r>
      <rPr>
        <sz val="11"/>
        <color rgb="FF000000"/>
        <rFont val="微软雅黑"/>
        <charset val="134"/>
      </rPr>
      <t>针对x条同时完成预估迭代和0523交付内容的需求，有x条（</t>
    </r>
    <r>
      <rPr>
        <b/>
        <sz val="11"/>
        <color rgb="FFFF0000"/>
        <rFont val="微软雅黑"/>
        <charset val="134"/>
      </rPr>
      <t>x0%</t>
    </r>
    <r>
      <rPr>
        <sz val="11"/>
        <color rgb="FF000000"/>
        <rFont val="微软雅黑"/>
        <charset val="134"/>
      </rPr>
      <t>）需求已完成技术负责人确认
二、</t>
    </r>
    <r>
      <rPr>
        <b/>
        <sz val="11"/>
        <color rgb="FF000000"/>
        <rFont val="微软雅黑"/>
        <charset val="134"/>
      </rPr>
      <t>风险提示：</t>
    </r>
    <r>
      <rPr>
        <sz val="11"/>
        <color rgb="FF000000"/>
        <rFont val="微软雅黑"/>
        <charset val="134"/>
      </rPr>
      <t xml:space="preserve">
1. 无</t>
    </r>
  </si>
  <si>
    <r>
      <t xml:space="preserve">一、进展总结
1. 需求收集：共有24条业务需求:
</t>
    </r>
    <r>
      <rPr>
        <sz val="11"/>
        <color rgb="FF000000"/>
        <rFont val="微软雅黑"/>
        <charset val="134"/>
      </rPr>
      <t>a. 固收部境内外共20条需求（</t>
    </r>
    <r>
      <rPr>
        <sz val="11"/>
        <color rgb="FFFF0000"/>
        <rFont val="微软雅黑"/>
        <charset val="134"/>
      </rPr>
      <t>14条</t>
    </r>
    <r>
      <rPr>
        <sz val="11"/>
        <color rgb="FF000000"/>
        <rFont val="微软雅黑"/>
        <charset val="134"/>
      </rPr>
      <t>新需求+</t>
    </r>
    <r>
      <rPr>
        <sz val="11"/>
        <color rgb="FFFF0000"/>
        <rFont val="微软雅黑"/>
        <charset val="134"/>
      </rPr>
      <t>6条</t>
    </r>
    <r>
      <rPr>
        <sz val="11"/>
        <color rgb="FF000000"/>
        <rFont val="微软雅黑"/>
        <charset val="134"/>
      </rPr>
      <t>在研需求）。
b. 中央交易室&amp;资金运营部共4条需求(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 已有24条需求（</t>
    </r>
    <r>
      <rPr>
        <b/>
        <sz val="11"/>
        <color rgb="FFFF0000"/>
        <rFont val="微软雅黑"/>
        <charset val="134"/>
      </rPr>
      <t>100%</t>
    </r>
    <r>
      <rPr>
        <sz val="11"/>
        <color rgb="FF000000"/>
        <rFont val="微软雅黑"/>
        <charset val="134"/>
      </rPr>
      <t>）完成牵头产品经理填写，24条需求（</t>
    </r>
    <r>
      <rPr>
        <b/>
        <sz val="11"/>
        <color rgb="FFFF0000"/>
        <rFont val="微软雅黑"/>
        <charset val="134"/>
      </rPr>
      <t>100%</t>
    </r>
    <r>
      <rPr>
        <sz val="11"/>
        <color rgb="FF000000"/>
        <rFont val="微软雅黑"/>
        <charset val="134"/>
      </rPr>
      <t>）完成技术负责人填写。
d. 内生性需求已收集</t>
    </r>
    <r>
      <rPr>
        <b/>
        <sz val="11"/>
        <color rgb="FFFF0000"/>
        <rFont val="微软雅黑"/>
        <charset val="134"/>
      </rPr>
      <t>6</t>
    </r>
    <r>
      <rPr>
        <sz val="11"/>
        <color rgb="FF000000"/>
        <rFont val="微软雅黑"/>
        <charset val="134"/>
      </rPr>
      <t xml:space="preserve">条。
2. </t>
    </r>
    <r>
      <rPr>
        <b/>
        <sz val="11"/>
        <color rgb="FF000000"/>
        <rFont val="微软雅黑"/>
        <charset val="134"/>
      </rPr>
      <t>BRD准入评估：</t>
    </r>
    <r>
      <rPr>
        <sz val="11"/>
        <color rgb="FF000000"/>
        <rFont val="微软雅黑"/>
        <charset val="134"/>
      </rPr>
      <t>已确定23条需求满足BRD准入标准,1条不满足BRD准入标准。评估完成率</t>
    </r>
    <r>
      <rPr>
        <b/>
        <sz val="11"/>
        <color rgb="FFFF0000"/>
        <rFont val="微软雅黑"/>
        <charset val="134"/>
      </rPr>
      <t>100%</t>
    </r>
    <r>
      <rPr>
        <sz val="11"/>
        <color rgb="FF000000"/>
        <rFont val="微软雅黑"/>
        <charset val="134"/>
      </rPr>
      <t>（=24/24）
3</t>
    </r>
    <r>
      <rPr>
        <b/>
        <sz val="11"/>
        <color rgb="FF000000"/>
        <rFont val="微软雅黑"/>
        <charset val="134"/>
      </rPr>
      <t>. 需求纳入评估</t>
    </r>
    <r>
      <rPr>
        <sz val="11"/>
        <color rgb="FF000000"/>
        <rFont val="微软雅黑"/>
        <charset val="134"/>
      </rPr>
      <t>：15条拟纳入，6条不纳入，2条待评估，需求纳入评估完成百分比</t>
    </r>
    <r>
      <rPr>
        <b/>
        <sz val="11"/>
        <color rgb="FFFF0000"/>
        <rFont val="微软雅黑"/>
        <charset val="134"/>
      </rPr>
      <t>88%</t>
    </r>
    <r>
      <rPr>
        <sz val="11"/>
        <color rgb="FF000000"/>
        <rFont val="微软雅黑"/>
        <charset val="134"/>
      </rPr>
      <t>（=21/24）。
4</t>
    </r>
    <r>
      <rPr>
        <b/>
        <sz val="11"/>
        <color rgb="FF000000"/>
        <rFont val="微软雅黑"/>
        <charset val="134"/>
      </rPr>
      <t xml:space="preserve">. 预估迭代评估：
</t>
    </r>
    <r>
      <rPr>
        <sz val="11"/>
        <color rgb="FF000000"/>
        <rFont val="微软雅黑"/>
        <charset val="134"/>
      </rPr>
      <t>a. 针对15条拟纳入需求，已完成12条（</t>
    </r>
    <r>
      <rPr>
        <b/>
        <sz val="11"/>
        <color rgb="FFFF0000"/>
        <rFont val="微软雅黑"/>
        <charset val="134"/>
      </rPr>
      <t>80%</t>
    </r>
    <r>
      <rPr>
        <sz val="11"/>
        <color rgb="FF000000"/>
        <rFont val="微软雅黑"/>
        <charset val="134"/>
      </rPr>
      <t>）需求的预估迭代评估；已完成12条（</t>
    </r>
    <r>
      <rPr>
        <b/>
        <sz val="11"/>
        <color rgb="FFFF0000"/>
        <rFont val="微软雅黑"/>
        <charset val="134"/>
      </rPr>
      <t>80%</t>
    </r>
    <r>
      <rPr>
        <sz val="11"/>
        <color rgb="FF000000"/>
        <rFont val="微软雅黑"/>
        <charset val="134"/>
      </rPr>
      <t>）需求的0523具体交付内容填写。
b.针对6条不纳入需求，已完成6条（</t>
    </r>
    <r>
      <rPr>
        <b/>
        <sz val="11"/>
        <color rgb="FFFF0000"/>
        <rFont val="微软雅黑"/>
        <charset val="134"/>
      </rPr>
      <t>100%</t>
    </r>
    <r>
      <rPr>
        <sz val="11"/>
        <color rgb="FF000000"/>
        <rFont val="微软雅黑"/>
        <charset val="134"/>
      </rPr>
      <t>）预估迭代信息填写，已完成0条（</t>
    </r>
    <r>
      <rPr>
        <b/>
        <sz val="11"/>
        <color rgb="FFFF0000"/>
        <rFont val="微软雅黑"/>
        <charset val="134"/>
      </rPr>
      <t>0%</t>
    </r>
    <r>
      <rPr>
        <sz val="11"/>
        <color rgb="FF000000"/>
        <rFont val="微软雅黑"/>
        <charset val="134"/>
      </rPr>
      <t xml:space="preserve">）不纳入理由填写
</t>
    </r>
    <r>
      <rPr>
        <b/>
        <sz val="11"/>
        <color rgb="FF000000"/>
        <rFont val="微软雅黑"/>
        <charset val="134"/>
      </rPr>
      <t>5. 技术负责人确认：</t>
    </r>
    <r>
      <rPr>
        <sz val="11"/>
        <color rgb="FF000000"/>
        <rFont val="微软雅黑"/>
        <charset val="134"/>
      </rPr>
      <t>针对12条同时完成预估迭代和0523交付内容的需求，有4条（</t>
    </r>
    <r>
      <rPr>
        <b/>
        <sz val="11"/>
        <color rgb="FFFF0000"/>
        <rFont val="微软雅黑"/>
        <charset val="134"/>
      </rPr>
      <t>33%</t>
    </r>
    <r>
      <rPr>
        <sz val="11"/>
        <color rgb="FF000000"/>
        <rFont val="微软雅黑"/>
        <charset val="134"/>
      </rPr>
      <t>）需求已完成技术负责人确认
二、</t>
    </r>
    <r>
      <rPr>
        <b/>
        <sz val="11"/>
        <color rgb="FF000000"/>
        <rFont val="微软雅黑"/>
        <charset val="134"/>
      </rPr>
      <t>风险提示：</t>
    </r>
    <r>
      <rPr>
        <sz val="11"/>
        <color rgb="FF000000"/>
        <rFont val="微软雅黑"/>
        <charset val="134"/>
      </rPr>
      <t xml:space="preserve">
1. 无</t>
    </r>
  </si>
  <si>
    <t>向业务反馈未达到准入的需求列表，启动需求澄清</t>
  </si>
  <si>
    <t>针对未达到准入标准的BRD，与业务沟通澄清</t>
  </si>
  <si>
    <t>跟进未达准入BRD的澄清进度
协调产品和研发对齐工作节奏</t>
  </si>
  <si>
    <t>筛选出本迭代肯定排不了的需求（BRD满足准入）</t>
  </si>
  <si>
    <r>
      <rPr>
        <b/>
        <sz val="11"/>
        <color rgb="FF000000"/>
        <rFont val="微软雅黑"/>
        <charset val="134"/>
      </rPr>
      <t>进度跟踪：</t>
    </r>
    <r>
      <rPr>
        <sz val="11"/>
        <color rgb="FF000000"/>
        <rFont val="微软雅黑"/>
        <charset val="134"/>
      </rPr>
      <t xml:space="preserve">
1. 每日跟踪各团队工作进展</t>
    </r>
  </si>
  <si>
    <r>
      <rPr>
        <b/>
        <sz val="11"/>
        <color rgb="FF000000"/>
        <rFont val="微软雅黑"/>
        <charset val="134"/>
      </rPr>
      <t>BRD评估：</t>
    </r>
    <r>
      <rPr>
        <sz val="11"/>
        <color rgb="FF000000"/>
        <rFont val="微软雅黑"/>
        <charset val="134"/>
      </rPr>
      <t xml:space="preserve">
1.登记是否纳入交付
2.登记预估迭代内容</t>
    </r>
  </si>
  <si>
    <r>
      <rPr>
        <b/>
        <sz val="11"/>
        <color rgb="FF000000"/>
        <rFont val="微软雅黑"/>
        <charset val="134"/>
      </rPr>
      <t>BRD评估：</t>
    </r>
    <r>
      <rPr>
        <sz val="11"/>
        <color rgb="FF000000"/>
        <rFont val="微软雅黑"/>
        <charset val="134"/>
      </rPr>
      <t xml:space="preserve">
1. 研发侧交付评估，与产品一起完成BRD评估
2. 确认产品团队登记的预估迭代内容
3. 登记技术内生性需求</t>
    </r>
  </si>
  <si>
    <t>向固收反馈需求排期评估结果</t>
  </si>
  <si>
    <t>迭代排期阶段</t>
  </si>
  <si>
    <t>组织需求澄清过程，发起会邀</t>
  </si>
  <si>
    <t>明确本迭代各模块具体交付内容</t>
  </si>
  <si>
    <t>向研发做需求澄清</t>
  </si>
  <si>
    <t>参与需求澄清</t>
  </si>
  <si>
    <t>向研发需求澄清</t>
  </si>
  <si>
    <t>需求澄清结果反馈</t>
  </si>
  <si>
    <t>研发阶段.....</t>
  </si>
  <si>
    <t>监督需求澄清反馈结果/启动研发</t>
  </si>
  <si>
    <t>1.需求澄清结果反馈
2.启动本迭代研发</t>
  </si>
  <si>
    <t>......</t>
  </si>
</sst>
</file>

<file path=xl/styles.xml><?xml version="1.0" encoding="utf-8"?>
<styleSheet xmlns="http://schemas.openxmlformats.org/spreadsheetml/2006/main">
  <numFmts count="38">
    <numFmt numFmtId="176" formatCode="[DBNum1][$-804]yyyy&quot;年&quot;m&quot;月&quot;"/>
    <numFmt numFmtId="177" formatCode="mmmm\-yy"/>
    <numFmt numFmtId="23" formatCode="\$#,##0_);\(\$#,##0\)"/>
    <numFmt numFmtId="178" formatCode="#\ ?/?"/>
    <numFmt numFmtId="5" formatCode="&quot;￥&quot;#,##0;&quot;￥&quot;\-#,##0"/>
    <numFmt numFmtId="26" formatCode="\$#,##0.00_);[Red]\(\$#,##0.00\)"/>
    <numFmt numFmtId="6" formatCode="&quot;￥&quot;#,##0;[Red]&quot;￥&quot;\-#,##0"/>
    <numFmt numFmtId="179" formatCode="h:mm:ss\ AM/PM"/>
    <numFmt numFmtId="7" formatCode="&quot;￥&quot;#,##0.00;&quot;￥&quot;\-#,##0.00"/>
    <numFmt numFmtId="180" formatCode="[DBNum1]上午/下午h&quot;时&quot;mm&quot;分&quot;"/>
    <numFmt numFmtId="42" formatCode="_ &quot;￥&quot;* #,##0_ ;_ &quot;￥&quot;* \-#,##0_ ;_ &quot;￥&quot;* &quot;-&quot;_ ;_ @_ "/>
    <numFmt numFmtId="181" formatCode="[DBNum1][$-804]m&quot;月&quot;d&quot;日&quot;"/>
    <numFmt numFmtId="182" formatCode="h:mm\ AM/PM"/>
    <numFmt numFmtId="24" formatCode="\$#,##0_);[Red]\(\$#,##0\)"/>
    <numFmt numFmtId="183" formatCode="[$-804]aaa"/>
    <numFmt numFmtId="184" formatCode="mm/dd/yy"/>
    <numFmt numFmtId="185" formatCode="yyyy/m/d;@"/>
    <numFmt numFmtId="186" formatCode="yy/m/d"/>
    <numFmt numFmtId="187" formatCode="\¥#,##0.00;[Red]\¥\-#,##0.00"/>
    <numFmt numFmtId="188" formatCode="#\ ??/??"/>
    <numFmt numFmtId="44" formatCode="_ &quot;￥&quot;* #,##0.00_ ;_ &quot;￥&quot;* \-#,##0.00_ ;_ &quot;￥&quot;* &quot;-&quot;??_ ;_ @_ "/>
    <numFmt numFmtId="189" formatCode="yyyy/m/d\ h:mm\ AM/PM"/>
    <numFmt numFmtId="25" formatCode="\$#,##0.00_);\(\$#,##0.00\)"/>
    <numFmt numFmtId="190" formatCode="mmmmm"/>
    <numFmt numFmtId="191" formatCode="[DBNum1]h&quot;时&quot;mm&quot;分&quot;"/>
    <numFmt numFmtId="192" formatCode="[DBNum1][$-804]yyyy&quot;年&quot;m&quot;月&quot;d&quot;日&quot;"/>
    <numFmt numFmtId="193" formatCode="\¥#,##0;[Red]\¥\-#,##0"/>
    <numFmt numFmtId="43" formatCode="_ * #,##0.00_ ;_ * \-#,##0.00_ ;_ * &quot;-&quot;??_ ;_ @_ "/>
    <numFmt numFmtId="194" formatCode="\¥#,##0;\¥\-#,##0"/>
    <numFmt numFmtId="195" formatCode="mmmmm\-yy"/>
    <numFmt numFmtId="196" formatCode="[$-804]aaaa"/>
    <numFmt numFmtId="197" formatCode="\¥#,##0.00;\¥\-#,##0.00"/>
    <numFmt numFmtId="8" formatCode="&quot;￥&quot;#,##0.00;[Red]&quot;￥&quot;\-#,##0.00"/>
    <numFmt numFmtId="41" formatCode="_ * #,##0_ ;_ * \-#,##0_ ;_ * &quot;-&quot;_ ;_ @_ "/>
    <numFmt numFmtId="198" formatCode="#\ ??"/>
    <numFmt numFmtId="199" formatCode="dd\-mmm\-yy"/>
    <numFmt numFmtId="200" formatCode="[=1]&quot;☑&quot;;[=0]&quot;☐&quot;;0;@"/>
    <numFmt numFmtId="201" formatCode="m/d"/>
  </numFmts>
  <fonts count="47">
    <font>
      <sz val="11"/>
      <color theme="1"/>
      <name val="宋体"/>
      <charset val="134"/>
      <scheme val="minor"/>
    </font>
    <font>
      <sz val="11"/>
      <color theme="1"/>
      <name val="微软雅黑"/>
      <charset val="134"/>
    </font>
    <font>
      <b/>
      <sz val="11"/>
      <color rgb="FFFFFFFF"/>
      <name val="微软雅黑"/>
      <charset val="134"/>
    </font>
    <font>
      <b/>
      <sz val="11"/>
      <color rgb="FF000000"/>
      <name val="微软雅黑"/>
      <charset val="134"/>
    </font>
    <font>
      <sz val="11"/>
      <color rgb="FF000000"/>
      <name val="微软雅黑"/>
      <charset val="134"/>
    </font>
    <font>
      <b/>
      <sz val="11"/>
      <color theme="1"/>
      <name val="微软雅黑"/>
      <charset val="134"/>
    </font>
    <font>
      <sz val="11"/>
      <color rgb="FFFF0000"/>
      <name val="微软雅黑"/>
      <charset val="134"/>
    </font>
    <font>
      <b/>
      <sz val="12"/>
      <color rgb="FF000000"/>
      <name val="微软雅黑"/>
      <charset val="134"/>
    </font>
    <font>
      <sz val="12"/>
      <color rgb="FF000000"/>
      <name val="微软雅黑"/>
      <charset val="134"/>
    </font>
    <font>
      <b/>
      <sz val="12"/>
      <color rgb="FFFFFFFF"/>
      <name val="微软雅黑"/>
      <charset val="134"/>
    </font>
    <font>
      <sz val="12"/>
      <color rgb="FFFFFFFF"/>
      <name val="微软雅黑"/>
      <charset val="134"/>
    </font>
    <font>
      <strike/>
      <sz val="11"/>
      <color theme="1"/>
      <name val="微软雅黑"/>
      <charset val="134"/>
    </font>
    <font>
      <sz val="11"/>
      <color rgb="FF0000FF"/>
      <name val="微软雅黑"/>
      <charset val="0"/>
    </font>
    <font>
      <u/>
      <sz val="11"/>
      <color rgb="FF0000FF"/>
      <name val="微软雅黑"/>
      <charset val="134"/>
    </font>
    <font>
      <sz val="10"/>
      <color theme="1"/>
      <name val="微软雅黑"/>
      <charset val="134"/>
    </font>
    <font>
      <b/>
      <sz val="11"/>
      <color rgb="FFC00000"/>
      <name val="微软雅黑"/>
      <charset val="134"/>
    </font>
    <font>
      <u/>
      <sz val="10.5"/>
      <color rgb="FF0000FF"/>
      <name val="宋体"/>
      <charset val="134"/>
      <scheme val="minor"/>
    </font>
    <font>
      <sz val="11"/>
      <color rgb="FF172B4D"/>
      <name val="微软雅黑"/>
      <charset val="134"/>
    </font>
    <font>
      <sz val="11"/>
      <color rgb="FF0000FF"/>
      <name val="微软雅黑"/>
      <charset val="134"/>
    </font>
    <font>
      <strike/>
      <sz val="11"/>
      <color rgb="FF000000"/>
      <name val="微软雅黑"/>
      <charset val="134"/>
    </font>
    <font>
      <strike/>
      <u/>
      <sz val="11"/>
      <color rgb="FF0000FF"/>
      <name val="微软雅黑"/>
      <charset val="134"/>
    </font>
    <font>
      <u/>
      <sz val="10.5"/>
      <color rgb="FF0000FF"/>
      <name val="宋体"/>
      <charset val="134"/>
    </font>
    <font>
      <strike/>
      <sz val="11"/>
      <color rgb="FF172B4D"/>
      <name val="微软雅黑"/>
      <charset val="134"/>
    </font>
    <font>
      <sz val="10"/>
      <color rgb="FF000000"/>
      <name val="微软雅黑"/>
      <charset val="134"/>
    </font>
    <font>
      <sz val="11"/>
      <color rgb="FF000000"/>
      <name val="微软雅黑"/>
      <charset val="0"/>
    </font>
    <font>
      <sz val="11"/>
      <color rgb="FFFA7D00"/>
      <name val="宋体"/>
      <charset val="0"/>
      <scheme val="minor"/>
    </font>
    <font>
      <b/>
      <sz val="11"/>
      <color theme="3"/>
      <name val="宋体"/>
      <charset val="134"/>
      <scheme val="minor"/>
    </font>
    <font>
      <sz val="11"/>
      <color theme="1"/>
      <name val="宋体"/>
      <charset val="0"/>
      <scheme val="minor"/>
    </font>
    <font>
      <b/>
      <sz val="13"/>
      <color theme="3"/>
      <name val="宋体"/>
      <charset val="134"/>
      <scheme val="minor"/>
    </font>
    <font>
      <b/>
      <sz val="11"/>
      <color theme="1"/>
      <name val="宋体"/>
      <charset val="0"/>
      <scheme val="minor"/>
    </font>
    <font>
      <u/>
      <sz val="11"/>
      <color rgb="FF0000FF"/>
      <name val="宋体"/>
      <charset val="0"/>
      <scheme val="minor"/>
    </font>
    <font>
      <sz val="11"/>
      <color theme="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sz val="11"/>
      <color rgb="FF006100"/>
      <name val="宋体"/>
      <charset val="0"/>
      <scheme val="minor"/>
    </font>
    <font>
      <sz val="11"/>
      <color rgb="FF9C0006"/>
      <name val="宋体"/>
      <charset val="0"/>
      <scheme val="minor"/>
    </font>
    <font>
      <sz val="11"/>
      <color rgb="FFFF0000"/>
      <name val="宋体"/>
      <charset val="0"/>
      <scheme val="minor"/>
    </font>
    <font>
      <b/>
      <sz val="11"/>
      <color rgb="FFFA7D00"/>
      <name val="宋体"/>
      <charset val="0"/>
      <scheme val="minor"/>
    </font>
    <font>
      <sz val="11"/>
      <color rgb="FF9C6500"/>
      <name val="宋体"/>
      <charset val="0"/>
      <scheme val="minor"/>
    </font>
    <font>
      <sz val="11"/>
      <color rgb="FF3F3F76"/>
      <name val="宋体"/>
      <charset val="0"/>
      <scheme val="minor"/>
    </font>
    <font>
      <u/>
      <sz val="11"/>
      <color rgb="FF800080"/>
      <name val="宋体"/>
      <charset val="0"/>
      <scheme val="minor"/>
    </font>
    <font>
      <b/>
      <sz val="11"/>
      <color rgb="FFFFFFFF"/>
      <name val="宋体"/>
      <charset val="0"/>
      <scheme val="minor"/>
    </font>
    <font>
      <b/>
      <sz val="12"/>
      <color rgb="FFFF0000"/>
      <name val="微软雅黑"/>
      <charset val="134"/>
    </font>
    <font>
      <b/>
      <sz val="11"/>
      <color rgb="FFFF0000"/>
      <name val="微软雅黑"/>
      <charset val="134"/>
    </font>
    <font>
      <sz val="12"/>
      <color rgb="FFFF0000"/>
      <name val="微软雅黑"/>
      <charset val="134"/>
    </font>
  </fonts>
  <fills count="47">
    <fill>
      <patternFill patternType="none"/>
    </fill>
    <fill>
      <patternFill patternType="gray125"/>
    </fill>
    <fill>
      <patternFill patternType="solid">
        <fgColor rgb="FF2F5597"/>
        <bgColor indexed="64"/>
      </patternFill>
    </fill>
    <fill>
      <patternFill patternType="solid">
        <fgColor rgb="FFFFFF00"/>
        <bgColor indexed="64"/>
      </patternFill>
    </fill>
    <fill>
      <patternFill patternType="solid">
        <fgColor rgb="FFBDD7EE"/>
        <bgColor indexed="64"/>
      </patternFill>
    </fill>
    <fill>
      <patternFill patternType="solid">
        <fgColor rgb="FF2E75B6"/>
        <bgColor indexed="64"/>
      </patternFill>
    </fill>
    <fill>
      <patternFill patternType="solid">
        <fgColor rgb="FFE2F0D9"/>
        <bgColor indexed="64"/>
      </patternFill>
    </fill>
    <fill>
      <patternFill patternType="solid">
        <fgColor rgb="FF385723"/>
        <bgColor indexed="64"/>
      </patternFill>
    </fill>
    <fill>
      <patternFill patternType="solid">
        <fgColor rgb="FF9DC3E6"/>
        <bgColor indexed="64"/>
      </patternFill>
    </fill>
    <fill>
      <patternFill patternType="solid">
        <fgColor rgb="FFBFBFBF"/>
        <bgColor indexed="64"/>
      </patternFill>
    </fill>
    <fill>
      <patternFill patternType="solid">
        <fgColor rgb="FF8FAADC"/>
        <bgColor indexed="64"/>
      </patternFill>
    </fill>
    <fill>
      <patternFill patternType="solid">
        <fgColor rgb="FFFCE4D6"/>
        <bgColor indexed="64"/>
      </patternFill>
    </fill>
    <fill>
      <patternFill patternType="solid">
        <fgColor rgb="FFFFFFFF"/>
        <bgColor indexed="64"/>
      </patternFill>
    </fill>
    <fill>
      <patternFill patternType="solid">
        <fgColor rgb="FFC5E0B4"/>
        <bgColor indexed="64"/>
      </patternFill>
    </fill>
    <fill>
      <patternFill patternType="solid">
        <fgColor rgb="FFD6DCE4"/>
        <bgColor indexed="64"/>
      </patternFill>
    </fill>
    <fill>
      <patternFill patternType="solid">
        <fgColor rgb="FFED7D31"/>
        <bgColor indexed="64"/>
      </patternFill>
    </fill>
    <fill>
      <patternFill patternType="solid">
        <fgColor theme="8" tint="0.599993896298105"/>
        <bgColor indexed="64"/>
      </patternFill>
    </fill>
    <fill>
      <patternFill patternType="solid">
        <fgColor rgb="FFFFFFCC"/>
        <bgColor indexed="64"/>
      </patternFill>
    </fill>
    <fill>
      <patternFill patternType="solid">
        <fgColor theme="5"/>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rgb="FFF2F2F2"/>
        <bgColor indexed="64"/>
      </patternFill>
    </fill>
    <fill>
      <patternFill patternType="solid">
        <fgColor theme="4"/>
        <bgColor indexed="64"/>
      </patternFill>
    </fill>
    <fill>
      <patternFill patternType="solid">
        <fgColor rgb="FFC6EFCE"/>
        <bgColor indexed="64"/>
      </patternFill>
    </fill>
    <fill>
      <patternFill patternType="solid">
        <fgColor rgb="FFFFC7CE"/>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6"/>
        <bgColor indexed="64"/>
      </patternFill>
    </fill>
    <fill>
      <patternFill patternType="solid">
        <fgColor rgb="FFFFEB9C"/>
        <bgColor indexed="64"/>
      </patternFill>
    </fill>
    <fill>
      <patternFill patternType="solid">
        <fgColor theme="7"/>
        <bgColor indexed="64"/>
      </patternFill>
    </fill>
    <fill>
      <patternFill patternType="solid">
        <fgColor theme="9" tint="0.599993896298105"/>
        <bgColor indexed="64"/>
      </patternFill>
    </fill>
    <fill>
      <patternFill patternType="solid">
        <fgColor rgb="FFFFCC99"/>
        <bgColor indexed="64"/>
      </patternFill>
    </fill>
    <fill>
      <patternFill patternType="solid">
        <fgColor theme="8"/>
        <bgColor indexed="64"/>
      </patternFill>
    </fill>
    <fill>
      <patternFill patternType="solid">
        <fgColor theme="9" tint="0.799981688894314"/>
        <bgColor indexed="64"/>
      </patternFill>
    </fill>
    <fill>
      <patternFill patternType="solid">
        <fgColor rgb="FFA5A5A5"/>
        <bgColor indexed="64"/>
      </patternFill>
    </fill>
    <fill>
      <patternFill patternType="solid">
        <fgColor theme="5"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thin">
        <color rgb="FF000000"/>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31" fillId="33" borderId="0" applyNumberFormat="0" applyBorder="0" applyAlignment="0" applyProtection="0">
      <alignment vertical="center"/>
    </xf>
    <xf numFmtId="0" fontId="27" fillId="24" borderId="0" applyNumberFormat="0" applyBorder="0" applyAlignment="0" applyProtection="0">
      <alignment vertical="center"/>
    </xf>
    <xf numFmtId="0" fontId="31" fillId="40" borderId="0" applyNumberFormat="0" applyBorder="0" applyAlignment="0" applyProtection="0">
      <alignment vertical="center"/>
    </xf>
    <xf numFmtId="0" fontId="41" fillId="42" borderId="20" applyNumberFormat="0" applyAlignment="0" applyProtection="0">
      <alignment vertical="center"/>
    </xf>
    <xf numFmtId="0" fontId="27" fillId="23" borderId="0" applyNumberFormat="0" applyBorder="0" applyAlignment="0" applyProtection="0">
      <alignment vertical="center"/>
    </xf>
    <xf numFmtId="0" fontId="27" fillId="30" borderId="0" applyNumberFormat="0" applyBorder="0" applyAlignment="0" applyProtection="0">
      <alignment vertical="center"/>
    </xf>
    <xf numFmtId="44" fontId="0" fillId="0" borderId="0" applyFont="0" applyFill="0" applyBorder="0" applyAlignment="0" applyProtection="0">
      <alignment vertical="center"/>
    </xf>
    <xf numFmtId="0" fontId="31" fillId="38" borderId="0" applyNumberFormat="0" applyBorder="0" applyAlignment="0" applyProtection="0">
      <alignment vertical="center"/>
    </xf>
    <xf numFmtId="9" fontId="0" fillId="0" borderId="0" applyFont="0" applyFill="0" applyBorder="0" applyAlignment="0" applyProtection="0">
      <alignment vertical="center"/>
    </xf>
    <xf numFmtId="0" fontId="31" fillId="46" borderId="0" applyNumberFormat="0" applyBorder="0" applyAlignment="0" applyProtection="0">
      <alignment vertical="center"/>
    </xf>
    <xf numFmtId="0" fontId="31" fillId="20" borderId="0" applyNumberFormat="0" applyBorder="0" applyAlignment="0" applyProtection="0">
      <alignment vertical="center"/>
    </xf>
    <xf numFmtId="0" fontId="31" fillId="18" borderId="0" applyNumberFormat="0" applyBorder="0" applyAlignment="0" applyProtection="0">
      <alignment vertical="center"/>
    </xf>
    <xf numFmtId="0" fontId="31" fillId="32" borderId="0" applyNumberFormat="0" applyBorder="0" applyAlignment="0" applyProtection="0">
      <alignment vertical="center"/>
    </xf>
    <xf numFmtId="0" fontId="31" fillId="37" borderId="0" applyNumberFormat="0" applyBorder="0" applyAlignment="0" applyProtection="0">
      <alignment vertical="center"/>
    </xf>
    <xf numFmtId="0" fontId="39" fillId="25" borderId="20" applyNumberFormat="0" applyAlignment="0" applyProtection="0">
      <alignment vertical="center"/>
    </xf>
    <xf numFmtId="0" fontId="31" fillId="26" borderId="0" applyNumberFormat="0" applyBorder="0" applyAlignment="0" applyProtection="0">
      <alignment vertical="center"/>
    </xf>
    <xf numFmtId="0" fontId="40" fillId="39" borderId="0" applyNumberFormat="0" applyBorder="0" applyAlignment="0" applyProtection="0">
      <alignment vertical="center"/>
    </xf>
    <xf numFmtId="0" fontId="27" fillId="35" borderId="0" applyNumberFormat="0" applyBorder="0" applyAlignment="0" applyProtection="0">
      <alignment vertical="center"/>
    </xf>
    <xf numFmtId="0" fontId="36" fillId="27" borderId="0" applyNumberFormat="0" applyBorder="0" applyAlignment="0" applyProtection="0">
      <alignment vertical="center"/>
    </xf>
    <xf numFmtId="0" fontId="27" fillId="31" borderId="0" applyNumberFormat="0" applyBorder="0" applyAlignment="0" applyProtection="0">
      <alignment vertical="center"/>
    </xf>
    <xf numFmtId="0" fontId="29" fillId="0" borderId="17" applyNumberFormat="0" applyFill="0" applyAlignment="0" applyProtection="0">
      <alignment vertical="center"/>
    </xf>
    <xf numFmtId="0" fontId="37" fillId="28" borderId="0" applyNumberFormat="0" applyBorder="0" applyAlignment="0" applyProtection="0">
      <alignment vertical="center"/>
    </xf>
    <xf numFmtId="0" fontId="43" fillId="45" borderId="21" applyNumberFormat="0" applyAlignment="0" applyProtection="0">
      <alignment vertical="center"/>
    </xf>
    <xf numFmtId="0" fontId="35" fillId="25" borderId="19" applyNumberFormat="0" applyAlignment="0" applyProtection="0">
      <alignment vertical="center"/>
    </xf>
    <xf numFmtId="0" fontId="34" fillId="0" borderId="16" applyNumberFormat="0" applyFill="0" applyAlignment="0" applyProtection="0">
      <alignment vertical="center"/>
    </xf>
    <xf numFmtId="0" fontId="33" fillId="0" borderId="0" applyNumberFormat="0" applyFill="0" applyBorder="0" applyAlignment="0" applyProtection="0">
      <alignment vertical="center"/>
    </xf>
    <xf numFmtId="0" fontId="27" fillId="36" borderId="0" applyNumberFormat="0" applyBorder="0" applyAlignment="0" applyProtection="0">
      <alignment vertical="center"/>
    </xf>
    <xf numFmtId="0" fontId="26" fillId="0" borderId="0" applyNumberFormat="0" applyFill="0" applyBorder="0" applyAlignment="0" applyProtection="0">
      <alignment vertical="center"/>
    </xf>
    <xf numFmtId="42" fontId="0" fillId="0" borderId="0" applyFont="0" applyFill="0" applyBorder="0" applyAlignment="0" applyProtection="0">
      <alignment vertical="center"/>
    </xf>
    <xf numFmtId="0" fontId="27" fillId="29" borderId="0" applyNumberFormat="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7" fillId="19" borderId="0" applyNumberFormat="0" applyBorder="0" applyAlignment="0" applyProtection="0">
      <alignment vertical="center"/>
    </xf>
    <xf numFmtId="0" fontId="38" fillId="0" borderId="0" applyNumberFormat="0" applyFill="0" applyBorder="0" applyAlignment="0" applyProtection="0">
      <alignment vertical="center"/>
    </xf>
    <xf numFmtId="0" fontId="31" fillId="21" borderId="0" applyNumberFormat="0" applyBorder="0" applyAlignment="0" applyProtection="0">
      <alignment vertical="center"/>
    </xf>
    <xf numFmtId="0" fontId="0" fillId="17" borderId="18" applyNumberFormat="0" applyFont="0" applyAlignment="0" applyProtection="0">
      <alignment vertical="center"/>
    </xf>
    <xf numFmtId="0" fontId="27" fillId="44" borderId="0" applyNumberFormat="0" applyBorder="0" applyAlignment="0" applyProtection="0">
      <alignment vertical="center"/>
    </xf>
    <xf numFmtId="0" fontId="31" fillId="43" borderId="0" applyNumberFormat="0" applyBorder="0" applyAlignment="0" applyProtection="0">
      <alignment vertical="center"/>
    </xf>
    <xf numFmtId="0" fontId="27" fillId="41" borderId="0" applyNumberFormat="0" applyBorder="0" applyAlignment="0" applyProtection="0">
      <alignment vertical="center"/>
    </xf>
    <xf numFmtId="0" fontId="30" fillId="0" borderId="0" applyNumberFormat="0" applyFill="0" applyBorder="0" applyAlignment="0" applyProtection="0">
      <alignment vertical="center"/>
    </xf>
    <xf numFmtId="41" fontId="0" fillId="0" borderId="0" applyFont="0" applyFill="0" applyBorder="0" applyAlignment="0" applyProtection="0">
      <alignment vertical="center"/>
    </xf>
    <xf numFmtId="0" fontId="28" fillId="0" borderId="16" applyNumberFormat="0" applyFill="0" applyAlignment="0" applyProtection="0">
      <alignment vertical="center"/>
    </xf>
    <xf numFmtId="0" fontId="27" fillId="16" borderId="0" applyNumberFormat="0" applyBorder="0" applyAlignment="0" applyProtection="0">
      <alignment vertical="center"/>
    </xf>
    <xf numFmtId="0" fontId="26" fillId="0" borderId="15" applyNumberFormat="0" applyFill="0" applyAlignment="0" applyProtection="0">
      <alignment vertical="center"/>
    </xf>
    <xf numFmtId="0" fontId="31" fillId="22" borderId="0" applyNumberFormat="0" applyBorder="0" applyAlignment="0" applyProtection="0">
      <alignment vertical="center"/>
    </xf>
    <xf numFmtId="0" fontId="27" fillId="34" borderId="0" applyNumberFormat="0" applyBorder="0" applyAlignment="0" applyProtection="0">
      <alignment vertical="center"/>
    </xf>
    <xf numFmtId="0" fontId="25" fillId="0" borderId="14" applyNumberFormat="0" applyFill="0" applyAlignment="0" applyProtection="0">
      <alignment vertical="center"/>
    </xf>
  </cellStyleXfs>
  <cellXfs count="18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2" fillId="2" borderId="1" xfId="0" applyFont="1" applyFill="1" applyBorder="1">
      <alignment vertical="center"/>
    </xf>
    <xf numFmtId="0" fontId="3" fillId="0" borderId="1" xfId="0" applyFont="1" applyBorder="1" applyAlignment="1">
      <alignment horizontal="center" vertical="center" wrapText="1"/>
    </xf>
    <xf numFmtId="14" fontId="1" fillId="0" borderId="1" xfId="0" applyNumberFormat="1" applyFont="1" applyBorder="1">
      <alignment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14" fontId="6" fillId="0" borderId="1" xfId="0" applyNumberFormat="1" applyFont="1" applyBorder="1">
      <alignment vertical="center"/>
    </xf>
    <xf numFmtId="0" fontId="6" fillId="0" borderId="1" xfId="0" applyFont="1" applyBorder="1">
      <alignment vertical="center"/>
    </xf>
    <xf numFmtId="0" fontId="1" fillId="0" borderId="1" xfId="0" applyFont="1" applyBorder="1">
      <alignment vertical="center"/>
    </xf>
    <xf numFmtId="0" fontId="3" fillId="0" borderId="1" xfId="0" applyFont="1" applyBorder="1" applyAlignment="1">
      <alignment horizontal="center" vertical="center"/>
    </xf>
    <xf numFmtId="0" fontId="4" fillId="0" borderId="1" xfId="0" applyFont="1" applyBorder="1">
      <alignment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3" fillId="3" borderId="1" xfId="0" applyFont="1" applyFill="1" applyBorder="1" applyAlignment="1">
      <alignment horizontal="center" vertical="center" wrapText="1"/>
    </xf>
    <xf numFmtId="185" fontId="3" fillId="3" borderId="1" xfId="0" applyNumberFormat="1" applyFont="1" applyFill="1" applyBorder="1" applyAlignment="1">
      <alignment horizontal="center" vertical="center" wrapText="1"/>
    </xf>
    <xf numFmtId="0" fontId="4" fillId="0" borderId="2" xfId="0" applyFont="1" applyBorder="1" applyAlignment="1">
      <alignment horizontal="center" vertical="center"/>
    </xf>
    <xf numFmtId="0" fontId="3" fillId="0" borderId="2" xfId="0" applyFont="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4" xfId="0" applyFont="1" applyBorder="1" applyAlignment="1">
      <alignment horizontal="center" vertical="center"/>
    </xf>
    <xf numFmtId="0" fontId="4" fillId="0" borderId="4" xfId="0" applyFont="1" applyBorder="1" applyAlignment="1">
      <alignment horizontal="left" vertical="center" wrapText="1"/>
    </xf>
    <xf numFmtId="0" fontId="1" fillId="0" borderId="0" xfId="0" applyFont="1" applyAlignment="1">
      <alignment horizontal="center" vertical="center"/>
    </xf>
    <xf numFmtId="0" fontId="0" fillId="0" borderId="0" xfId="0" applyAlignment="1">
      <alignment vertical="center" wrapText="1"/>
    </xf>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7" fillId="0" borderId="2" xfId="0" applyNumberFormat="1" applyFont="1" applyFill="1" applyBorder="1" applyAlignment="1">
      <alignment vertical="center" wrapText="1"/>
    </xf>
    <xf numFmtId="0" fontId="4" fillId="0" borderId="1" xfId="0" applyNumberFormat="1" applyFont="1" applyBorder="1" applyAlignment="1">
      <alignment vertical="center" wrapText="1"/>
    </xf>
    <xf numFmtId="0" fontId="4" fillId="0" borderId="1" xfId="0" applyNumberFormat="1" applyFont="1" applyBorder="1">
      <alignment vertical="center"/>
    </xf>
    <xf numFmtId="0" fontId="9" fillId="5" borderId="1" xfId="0" applyFont="1" applyFill="1" applyBorder="1" applyAlignment="1">
      <alignment horizontal="center" vertical="center" wrapText="1"/>
    </xf>
    <xf numFmtId="0" fontId="4" fillId="0" borderId="1" xfId="0" applyNumberFormat="1" applyFont="1" applyFill="1" applyBorder="1" applyAlignment="1">
      <alignment vertical="center" wrapText="1"/>
    </xf>
    <xf numFmtId="0" fontId="8" fillId="4"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9" fillId="7" borderId="2" xfId="0" applyNumberFormat="1" applyFont="1" applyFill="1" applyBorder="1" applyAlignment="1">
      <alignment vertical="center" wrapText="1"/>
    </xf>
    <xf numFmtId="0" fontId="7" fillId="8" borderId="2" xfId="0" applyFont="1" applyFill="1" applyBorder="1" applyAlignment="1">
      <alignment vertical="center" wrapText="1"/>
    </xf>
    <xf numFmtId="0" fontId="1" fillId="0" borderId="7" xfId="0" applyFont="1" applyBorder="1">
      <alignment vertical="center"/>
    </xf>
    <xf numFmtId="0" fontId="4" fillId="0" borderId="0" xfId="0" applyFont="1">
      <alignment vertical="center"/>
    </xf>
    <xf numFmtId="0" fontId="10" fillId="7" borderId="2" xfId="0" applyNumberFormat="1" applyFont="1" applyFill="1" applyBorder="1" applyAlignment="1">
      <alignment vertical="center" wrapText="1"/>
    </xf>
    <xf numFmtId="0" fontId="8" fillId="8" borderId="2" xfId="0" applyFont="1" applyFill="1" applyBorder="1" applyAlignment="1">
      <alignment vertical="center" wrapText="1"/>
    </xf>
    <xf numFmtId="0" fontId="0" fillId="0" borderId="1" xfId="0" applyBorder="1">
      <alignment vertical="center"/>
    </xf>
    <xf numFmtId="0" fontId="8" fillId="6" borderId="7" xfId="0" applyFont="1" applyFill="1" applyBorder="1" applyAlignment="1">
      <alignment horizontal="center" vertical="center" wrapText="1"/>
    </xf>
    <xf numFmtId="0" fontId="1" fillId="0" borderId="0" xfId="0" applyFont="1" applyFill="1">
      <alignment vertical="center"/>
    </xf>
    <xf numFmtId="0" fontId="11" fillId="0" borderId="0" xfId="0" applyFont="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NumberFormat="1" applyFont="1">
      <alignment vertical="center"/>
    </xf>
    <xf numFmtId="0" fontId="3" fillId="9" borderId="8" xfId="0" applyFont="1" applyFill="1" applyBorder="1" applyAlignment="1">
      <alignment horizontal="left" vertical="center"/>
    </xf>
    <xf numFmtId="0" fontId="3" fillId="9" borderId="1" xfId="0" applyFont="1" applyFill="1" applyBorder="1" applyAlignment="1">
      <alignment horizontal="left" vertical="center" wrapText="1"/>
    </xf>
    <xf numFmtId="0" fontId="3" fillId="9" borderId="0" xfId="0" applyFont="1" applyFill="1" applyAlignment="1">
      <alignment horizontal="left" vertical="center" wrapText="1"/>
    </xf>
    <xf numFmtId="0" fontId="4" fillId="0" borderId="1" xfId="0" applyNumberFormat="1" applyFont="1" applyFill="1" applyBorder="1" applyAlignment="1">
      <alignment horizontal="left" vertical="center" wrapText="1"/>
    </xf>
    <xf numFmtId="0" fontId="12" fillId="0" borderId="1" xfId="41"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0" fontId="12" fillId="0" borderId="1" xfId="41"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xf>
    <xf numFmtId="0" fontId="4" fillId="0" borderId="1" xfId="0" applyNumberFormat="1" applyFont="1" applyBorder="1" applyAlignment="1">
      <alignment horizontal="left" vertical="center" wrapText="1"/>
    </xf>
    <xf numFmtId="0" fontId="13" fillId="0" borderId="1" xfId="41" applyNumberFormat="1" applyFont="1" applyBorder="1" applyAlignment="1">
      <alignment horizontal="left" vertical="center" wrapText="1"/>
    </xf>
    <xf numFmtId="0" fontId="4" fillId="0" borderId="1" xfId="0" applyFont="1" applyFill="1" applyBorder="1" applyProtection="1">
      <alignment vertical="center"/>
      <protection locked="0"/>
    </xf>
    <xf numFmtId="0" fontId="13" fillId="0" borderId="1" xfId="41" applyNumberFormat="1" applyFont="1" applyBorder="1" applyAlignment="1">
      <alignment vertical="center" wrapText="1"/>
    </xf>
    <xf numFmtId="0" fontId="4" fillId="0" borderId="1" xfId="0" applyNumberFormat="1" applyFont="1" applyBorder="1" applyAlignment="1">
      <alignment horizontal="center" vertical="center" wrapText="1"/>
    </xf>
    <xf numFmtId="0" fontId="4" fillId="0" borderId="1" xfId="0" applyFont="1" applyFill="1" applyBorder="1" applyAlignment="1" applyProtection="1">
      <alignment horizontal="center" vertical="center"/>
      <protection locked="0"/>
    </xf>
    <xf numFmtId="0" fontId="13" fillId="0" borderId="1" xfId="41" applyNumberFormat="1" applyFont="1" applyBorder="1" applyAlignment="1">
      <alignment horizontal="center" vertical="center" wrapText="1"/>
    </xf>
    <xf numFmtId="0" fontId="13" fillId="0" borderId="1" xfId="41" applyFont="1" applyBorder="1" applyAlignment="1">
      <alignment vertical="center" wrapText="1"/>
    </xf>
    <xf numFmtId="0" fontId="14" fillId="0" borderId="1" xfId="0" applyFont="1" applyBorder="1" applyAlignment="1">
      <alignment vertical="center" wrapText="1"/>
    </xf>
    <xf numFmtId="0" fontId="4" fillId="0" borderId="1" xfId="0" applyFont="1" applyFill="1" applyBorder="1" applyAlignment="1">
      <alignment vertical="center" wrapText="1"/>
    </xf>
    <xf numFmtId="0" fontId="4" fillId="0" borderId="1" xfId="0" applyFont="1" applyBorder="1" applyAlignment="1">
      <alignment horizontal="left" vertical="center"/>
    </xf>
    <xf numFmtId="0" fontId="1" fillId="0" borderId="2" xfId="0" applyFont="1" applyBorder="1" applyAlignment="1">
      <alignment horizontal="left" vertical="center"/>
    </xf>
    <xf numFmtId="0" fontId="4" fillId="0" borderId="1" xfId="0" applyNumberFormat="1" applyFont="1" applyBorder="1" applyAlignment="1">
      <alignment horizontal="left" vertical="top" wrapText="1"/>
    </xf>
    <xf numFmtId="0" fontId="1" fillId="0" borderId="4" xfId="0" applyFont="1" applyBorder="1" applyAlignment="1">
      <alignment horizontal="left"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wrapText="1"/>
    </xf>
    <xf numFmtId="0" fontId="4" fillId="0" borderId="1" xfId="0" applyNumberFormat="1" applyFont="1" applyFill="1" applyBorder="1">
      <alignment vertical="center"/>
    </xf>
    <xf numFmtId="0" fontId="4" fillId="0" borderId="1" xfId="0" applyNumberFormat="1" applyFont="1" applyFill="1" applyBorder="1" applyAlignment="1">
      <alignment horizontal="center" vertical="center"/>
    </xf>
    <xf numFmtId="0" fontId="4" fillId="0" borderId="1" xfId="0" applyFont="1" applyFill="1" applyBorder="1">
      <alignment vertical="center"/>
    </xf>
    <xf numFmtId="0" fontId="4" fillId="0" borderId="1" xfId="0" applyFont="1" applyFill="1" applyBorder="1" applyAlignment="1">
      <alignment horizontal="center" vertical="center"/>
    </xf>
    <xf numFmtId="0" fontId="4" fillId="0" borderId="7" xfId="0" applyNumberFormat="1" applyFont="1" applyFill="1" applyBorder="1" applyAlignment="1">
      <alignment horizontal="left" vertical="center" wrapText="1"/>
    </xf>
    <xf numFmtId="0" fontId="1" fillId="0" borderId="1" xfId="0" applyFont="1" applyBorder="1" applyAlignment="1">
      <alignment horizontal="left" vertical="center"/>
    </xf>
    <xf numFmtId="0" fontId="3" fillId="10" borderId="9" xfId="0" applyFont="1" applyFill="1" applyBorder="1" applyAlignment="1">
      <alignment horizontal="center" vertical="center" wrapText="1"/>
    </xf>
    <xf numFmtId="0" fontId="5" fillId="10" borderId="10" xfId="0" applyFont="1" applyFill="1" applyBorder="1" applyAlignment="1">
      <alignment horizontal="center" vertical="center"/>
    </xf>
    <xf numFmtId="0" fontId="5" fillId="10" borderId="10" xfId="0" applyFont="1" applyFill="1" applyBorder="1" applyAlignment="1">
      <alignment horizontal="center" vertical="center" wrapText="1"/>
    </xf>
    <xf numFmtId="0" fontId="3" fillId="10" borderId="7" xfId="0" applyNumberFormat="1" applyFont="1" applyFill="1" applyBorder="1" applyAlignment="1">
      <alignment horizontal="left" vertical="center" wrapText="1"/>
    </xf>
    <xf numFmtId="0" fontId="3" fillId="10" borderId="1" xfId="0" applyFont="1" applyFill="1" applyBorder="1" applyAlignment="1">
      <alignment horizontal="left" vertical="center"/>
    </xf>
    <xf numFmtId="0" fontId="3" fillId="10" borderId="1" xfId="0" applyFont="1" applyFill="1" applyBorder="1" applyAlignment="1">
      <alignment vertical="center" wrapText="1"/>
    </xf>
    <xf numFmtId="0" fontId="1" fillId="0" borderId="1" xfId="0" applyFont="1" applyBorder="1" applyAlignment="1">
      <alignment vertical="center" wrapText="1"/>
    </xf>
    <xf numFmtId="0" fontId="1" fillId="0" borderId="1" xfId="0" applyNumberFormat="1" applyFont="1" applyBorder="1">
      <alignment vertical="center"/>
    </xf>
    <xf numFmtId="0" fontId="1" fillId="0" borderId="1" xfId="0" applyFont="1" applyBorder="1" applyAlignment="1">
      <alignment horizontal="left" vertical="center" wrapText="1"/>
    </xf>
    <xf numFmtId="0" fontId="1" fillId="0" borderId="2" xfId="0" applyNumberFormat="1" applyFont="1" applyBorder="1">
      <alignment vertical="center"/>
    </xf>
    <xf numFmtId="0" fontId="1" fillId="0" borderId="1" xfId="0" applyFont="1" applyFill="1" applyBorder="1" applyAlignment="1">
      <alignment vertical="center" wrapText="1"/>
    </xf>
    <xf numFmtId="0" fontId="4" fillId="0" borderId="1" xfId="0" applyFont="1" applyFill="1" applyBorder="1" applyAlignment="1">
      <alignment horizontal="left" vertical="center"/>
    </xf>
    <xf numFmtId="0" fontId="1" fillId="0" borderId="1" xfId="0" applyNumberFormat="1" applyFont="1" applyBorder="1" applyAlignment="1">
      <alignment horizontal="left" vertical="center" wrapText="1"/>
    </xf>
    <xf numFmtId="0" fontId="3" fillId="10" borderId="7" xfId="0" applyNumberFormat="1" applyFont="1" applyFill="1" applyBorder="1">
      <alignment vertical="center"/>
    </xf>
    <xf numFmtId="0" fontId="3" fillId="10" borderId="1" xfId="0" applyFont="1" applyFill="1" applyBorder="1" applyAlignment="1">
      <alignment horizontal="center" vertical="center" wrapText="1"/>
    </xf>
    <xf numFmtId="0" fontId="4" fillId="11" borderId="1" xfId="0" applyNumberFormat="1" applyFont="1" applyFill="1" applyBorder="1" applyAlignment="1">
      <alignment vertical="center" wrapText="1"/>
    </xf>
    <xf numFmtId="0" fontId="4" fillId="11" borderId="1" xfId="0" applyNumberFormat="1" applyFont="1" applyFill="1" applyBorder="1">
      <alignment vertical="center"/>
    </xf>
    <xf numFmtId="0" fontId="3" fillId="10" borderId="1" xfId="0" applyFont="1" applyFill="1" applyBorder="1">
      <alignment vertical="center"/>
    </xf>
    <xf numFmtId="0" fontId="3" fillId="10" borderId="1" xfId="0" applyNumberFormat="1" applyFont="1" applyFill="1" applyBorder="1">
      <alignment vertical="center"/>
    </xf>
    <xf numFmtId="0" fontId="13" fillId="0" borderId="1" xfId="41" applyFont="1" applyBorder="1" applyAlignment="1">
      <alignment horizontal="left" vertical="center" wrapText="1"/>
    </xf>
    <xf numFmtId="0" fontId="15" fillId="0" borderId="1" xfId="0" applyFont="1" applyBorder="1" applyAlignment="1">
      <alignment horizontal="center" vertical="center"/>
    </xf>
    <xf numFmtId="0" fontId="4" fillId="0" borderId="1" xfId="0" applyNumberFormat="1" applyFont="1" applyBorder="1" applyAlignment="1">
      <alignment horizontal="left" vertical="center"/>
    </xf>
    <xf numFmtId="0" fontId="13" fillId="0" borderId="1" xfId="41" applyFont="1" applyBorder="1" applyAlignment="1">
      <alignment horizontal="center" vertical="center" wrapText="1"/>
    </xf>
    <xf numFmtId="0" fontId="16" fillId="0" borderId="0" xfId="41" applyFont="1" applyAlignment="1">
      <alignment vertical="center" wrapText="1"/>
    </xf>
    <xf numFmtId="0" fontId="13" fillId="0" borderId="1" xfId="41" applyFont="1" applyFill="1" applyBorder="1" applyAlignment="1">
      <alignment vertical="center" wrapText="1"/>
    </xf>
    <xf numFmtId="0" fontId="5" fillId="10"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10" borderId="5" xfId="0" applyFont="1" applyFill="1" applyBorder="1" applyAlignment="1">
      <alignment horizontal="left" vertical="center"/>
    </xf>
    <xf numFmtId="0" fontId="3" fillId="3" borderId="1" xfId="0" applyFont="1" applyFill="1" applyBorder="1">
      <alignment vertical="center"/>
    </xf>
    <xf numFmtId="58" fontId="17" fillId="0" borderId="1" xfId="0" applyNumberFormat="1" applyFont="1" applyBorder="1">
      <alignment vertical="center"/>
    </xf>
    <xf numFmtId="0" fontId="17" fillId="0" borderId="1" xfId="0" applyFont="1" applyBorder="1">
      <alignment vertical="center"/>
    </xf>
    <xf numFmtId="0" fontId="4" fillId="0" borderId="2" xfId="0" applyFont="1" applyBorder="1" applyAlignment="1">
      <alignment horizontal="left" vertical="center"/>
    </xf>
    <xf numFmtId="0" fontId="18" fillId="0" borderId="1" xfId="41" applyFont="1" applyBorder="1">
      <alignment vertical="center"/>
    </xf>
    <xf numFmtId="0" fontId="4" fillId="0" borderId="2" xfId="0" applyNumberFormat="1" applyFont="1" applyBorder="1" applyAlignment="1">
      <alignment horizontal="left" vertical="center" wrapText="1"/>
    </xf>
    <xf numFmtId="0" fontId="18" fillId="0" borderId="1" xfId="41" applyFont="1" applyBorder="1" applyAlignment="1">
      <alignment vertical="center" wrapText="1"/>
    </xf>
    <xf numFmtId="0" fontId="19" fillId="0" borderId="1" xfId="0" applyFont="1" applyBorder="1">
      <alignment vertical="center"/>
    </xf>
    <xf numFmtId="0" fontId="11" fillId="0" borderId="1" xfId="0" applyFont="1" applyBorder="1">
      <alignment vertical="center"/>
    </xf>
    <xf numFmtId="0" fontId="19" fillId="0" borderId="1" xfId="0" applyFont="1" applyBorder="1" applyAlignment="1">
      <alignment vertical="center" wrapText="1"/>
    </xf>
    <xf numFmtId="0" fontId="4" fillId="0" borderId="2" xfId="0" applyNumberFormat="1" applyFont="1" applyBorder="1" applyAlignment="1">
      <alignment horizontal="left" vertical="center"/>
    </xf>
    <xf numFmtId="0" fontId="4" fillId="0" borderId="4" xfId="0" applyNumberFormat="1" applyFont="1" applyBorder="1" applyAlignment="1">
      <alignment horizontal="left" vertical="center"/>
    </xf>
    <xf numFmtId="0" fontId="4" fillId="0" borderId="4" xfId="0" applyNumberFormat="1" applyFont="1" applyBorder="1" applyAlignment="1">
      <alignment horizontal="left" vertical="center" wrapText="1"/>
    </xf>
    <xf numFmtId="0" fontId="4" fillId="0" borderId="4" xfId="0" applyFont="1" applyBorder="1" applyAlignment="1">
      <alignment horizontal="left" vertical="center"/>
    </xf>
    <xf numFmtId="0" fontId="19" fillId="0" borderId="1" xfId="0" applyFont="1" applyBorder="1" applyAlignment="1">
      <alignment horizontal="left" vertical="center"/>
    </xf>
    <xf numFmtId="0" fontId="4" fillId="12" borderId="1" xfId="0" applyNumberFormat="1" applyFont="1" applyFill="1" applyBorder="1" applyAlignment="1">
      <alignment horizontal="left" vertical="center" wrapText="1"/>
    </xf>
    <xf numFmtId="0" fontId="1" fillId="0" borderId="2" xfId="0" applyNumberFormat="1" applyFont="1" applyBorder="1" applyAlignment="1">
      <alignment horizontal="left" vertical="center" wrapText="1"/>
    </xf>
    <xf numFmtId="0" fontId="1" fillId="0" borderId="2" xfId="0" applyNumberFormat="1" applyFont="1" applyBorder="1" applyAlignment="1">
      <alignment vertical="center" wrapText="1"/>
    </xf>
    <xf numFmtId="0" fontId="1" fillId="0" borderId="1" xfId="0" applyNumberFormat="1" applyFont="1" applyBorder="1" applyAlignment="1">
      <alignment vertical="center" wrapText="1"/>
    </xf>
    <xf numFmtId="0" fontId="19" fillId="0" borderId="1" xfId="0" applyFont="1" applyBorder="1" applyAlignment="1">
      <alignment horizontal="left" vertical="center" wrapText="1"/>
    </xf>
    <xf numFmtId="0" fontId="11" fillId="0" borderId="1" xfId="0" applyNumberFormat="1" applyFont="1" applyBorder="1" applyAlignment="1">
      <alignment vertical="center" wrapText="1"/>
    </xf>
    <xf numFmtId="0" fontId="11" fillId="0" borderId="1" xfId="0" applyFont="1" applyBorder="1" applyAlignment="1">
      <alignment horizontal="left" vertical="center"/>
    </xf>
    <xf numFmtId="0" fontId="1" fillId="0" borderId="2" xfId="0" applyFont="1" applyBorder="1">
      <alignment vertical="center"/>
    </xf>
    <xf numFmtId="0" fontId="4" fillId="0" borderId="2" xfId="0" applyFont="1" applyBorder="1">
      <alignment vertical="center"/>
    </xf>
    <xf numFmtId="0" fontId="4" fillId="12" borderId="1" xfId="0" applyNumberFormat="1" applyFont="1" applyFill="1" applyBorder="1" applyAlignment="1">
      <alignment vertical="center" wrapText="1"/>
    </xf>
    <xf numFmtId="0" fontId="19" fillId="12" borderId="1" xfId="0" applyNumberFormat="1" applyFont="1" applyFill="1" applyBorder="1" applyAlignment="1">
      <alignment vertical="center" wrapText="1"/>
    </xf>
    <xf numFmtId="0" fontId="4" fillId="0" borderId="2" xfId="0" applyFont="1" applyBorder="1" applyAlignment="1">
      <alignment vertical="center" wrapText="1"/>
    </xf>
    <xf numFmtId="0" fontId="16" fillId="0" borderId="1" xfId="41" applyFont="1" applyBorder="1" applyAlignment="1">
      <alignment vertical="center" wrapText="1"/>
    </xf>
    <xf numFmtId="0" fontId="15" fillId="0" borderId="4" xfId="0" applyFont="1" applyBorder="1" applyAlignment="1">
      <alignment horizontal="center" vertical="center"/>
    </xf>
    <xf numFmtId="0" fontId="20" fillId="0" borderId="1" xfId="41" applyFont="1" applyBorder="1" applyAlignment="1">
      <alignment vertical="center" wrapText="1"/>
    </xf>
    <xf numFmtId="0" fontId="19" fillId="0" borderId="1" xfId="0" applyNumberFormat="1" applyFont="1" applyBorder="1">
      <alignment vertical="center"/>
    </xf>
    <xf numFmtId="0" fontId="21" fillId="0" borderId="1" xfId="41" applyFont="1" applyBorder="1" applyAlignment="1">
      <alignment vertical="center" wrapText="1"/>
    </xf>
    <xf numFmtId="0" fontId="13" fillId="0" borderId="2" xfId="41" applyFont="1" applyBorder="1" applyAlignment="1">
      <alignment vertical="center" wrapText="1"/>
    </xf>
    <xf numFmtId="0" fontId="4" fillId="0" borderId="2" xfId="0" applyNumberFormat="1" applyFont="1" applyBorder="1">
      <alignment vertical="center"/>
    </xf>
    <xf numFmtId="0" fontId="22" fillId="0" borderId="1" xfId="0" applyFont="1" applyBorder="1">
      <alignment vertical="center"/>
    </xf>
    <xf numFmtId="0" fontId="11" fillId="0" borderId="1" xfId="0" applyFont="1" applyBorder="1" applyAlignment="1">
      <alignment vertical="center" wrapText="1"/>
    </xf>
    <xf numFmtId="0" fontId="1" fillId="0" borderId="2" xfId="0" applyFont="1" applyBorder="1" applyAlignment="1">
      <alignment vertical="center" wrapText="1"/>
    </xf>
    <xf numFmtId="0" fontId="17" fillId="0" borderId="0" xfId="0" applyFont="1">
      <alignment vertical="center"/>
    </xf>
    <xf numFmtId="0" fontId="4" fillId="0" borderId="7" xfId="0" applyFont="1" applyBorder="1">
      <alignment vertical="center"/>
    </xf>
    <xf numFmtId="0" fontId="17" fillId="0" borderId="2" xfId="0" applyFont="1" applyBorder="1">
      <alignment vertical="center"/>
    </xf>
    <xf numFmtId="0" fontId="1" fillId="13" borderId="0" xfId="0" applyFont="1" applyFill="1">
      <alignment vertical="center"/>
    </xf>
    <xf numFmtId="0" fontId="0" fillId="0" borderId="0" xfId="0" applyFont="1">
      <alignment vertical="center"/>
    </xf>
    <xf numFmtId="0" fontId="3" fillId="14" borderId="4" xfId="0" applyNumberFormat="1" applyFont="1" applyFill="1" applyBorder="1" applyAlignment="1">
      <alignment vertical="center" wrapText="1"/>
    </xf>
    <xf numFmtId="0" fontId="13" fillId="0" borderId="1" xfId="41" applyNumberFormat="1" applyFont="1" applyFill="1" applyBorder="1" applyAlignment="1">
      <alignment horizontal="left" vertical="center" wrapText="1"/>
    </xf>
    <xf numFmtId="0" fontId="23" fillId="0" borderId="1" xfId="0" applyFont="1" applyBorder="1" applyAlignment="1">
      <alignment vertical="center" wrapText="1"/>
    </xf>
    <xf numFmtId="0" fontId="23" fillId="0" borderId="1" xfId="0" applyFont="1" applyBorder="1">
      <alignment vertical="center"/>
    </xf>
    <xf numFmtId="0" fontId="24" fillId="0" borderId="1" xfId="41" applyNumberFormat="1" applyFont="1" applyFill="1" applyBorder="1" applyAlignment="1">
      <alignment vertical="center" wrapText="1"/>
    </xf>
    <xf numFmtId="0" fontId="15" fillId="13" borderId="0" xfId="0" applyFont="1" applyFill="1" applyAlignment="1">
      <alignment vertical="center"/>
    </xf>
    <xf numFmtId="0" fontId="1" fillId="13" borderId="0" xfId="0" applyFont="1" applyFill="1" applyAlignment="1">
      <alignment vertical="center"/>
    </xf>
    <xf numFmtId="0" fontId="4" fillId="0" borderId="7" xfId="0" applyNumberFormat="1" applyFont="1" applyBorder="1" applyAlignment="1">
      <alignment horizontal="left" vertical="center" wrapText="1"/>
    </xf>
    <xf numFmtId="0" fontId="4" fillId="0" borderId="13" xfId="0" applyNumberFormat="1" applyFont="1" applyBorder="1" applyAlignment="1">
      <alignment horizontal="left" vertical="center" wrapText="1"/>
    </xf>
    <xf numFmtId="0" fontId="3" fillId="14" borderId="4" xfId="0" applyNumberFormat="1" applyFont="1" applyFill="1" applyBorder="1" applyAlignment="1">
      <alignment horizontal="left" vertical="center" wrapText="1"/>
    </xf>
    <xf numFmtId="0" fontId="3" fillId="14" borderId="4" xfId="0"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5" xfId="0" applyFont="1" applyBorder="1">
      <alignment vertical="center"/>
    </xf>
    <xf numFmtId="0" fontId="1" fillId="13" borderId="0" xfId="0" applyFont="1" applyFill="1" applyAlignment="1">
      <alignment horizontal="center" vertical="center"/>
    </xf>
    <xf numFmtId="0" fontId="3" fillId="15" borderId="4" xfId="0" applyNumberFormat="1" applyFont="1" applyFill="1" applyBorder="1" applyAlignment="1">
      <alignment vertical="center" wrapText="1"/>
    </xf>
    <xf numFmtId="0" fontId="3" fillId="15" borderId="4" xfId="0" applyNumberFormat="1" applyFont="1" applyFill="1" applyBorder="1" applyAlignment="1">
      <alignment horizontal="center" vertical="center" wrapText="1"/>
    </xf>
    <xf numFmtId="0" fontId="4" fillId="3" borderId="1" xfId="0" applyNumberFormat="1" applyFont="1" applyFill="1" applyBorder="1" applyAlignment="1">
      <alignment horizontal="left" vertical="center" wrapText="1"/>
    </xf>
    <xf numFmtId="0" fontId="1" fillId="13" borderId="0" xfId="0" applyFont="1" applyFill="1" applyAlignment="1">
      <alignment horizontal="left" vertical="center"/>
    </xf>
    <xf numFmtId="0" fontId="1" fillId="13" borderId="0" xfId="0" applyFont="1" applyFill="1" applyAlignment="1">
      <alignment vertical="center" wrapText="1"/>
    </xf>
    <xf numFmtId="0" fontId="3" fillId="15" borderId="1" xfId="0" applyNumberFormat="1" applyFont="1" applyFill="1" applyBorder="1" applyAlignment="1">
      <alignment horizontal="center" vertical="center" wrapText="1"/>
    </xf>
    <xf numFmtId="0" fontId="4" fillId="0" borderId="2" xfId="0" applyFont="1" applyFill="1" applyBorder="1" applyAlignment="1">
      <alignment horizontal="left" vertical="center"/>
    </xf>
    <xf numFmtId="0" fontId="6" fillId="0" borderId="1" xfId="0" applyFont="1" applyBorder="1" applyAlignment="1">
      <alignment vertical="center" wrapText="1"/>
    </xf>
    <xf numFmtId="0" fontId="6" fillId="0" borderId="2" xfId="0" applyFont="1" applyFill="1" applyBorder="1">
      <alignment vertical="center"/>
    </xf>
    <xf numFmtId="0" fontId="4" fillId="0" borderId="2" xfId="0" applyFont="1" applyFill="1" applyBorder="1">
      <alignment vertical="center"/>
    </xf>
    <xf numFmtId="0" fontId="4" fillId="0" borderId="2" xfId="0" applyFont="1" applyFill="1" applyBorder="1" applyAlignment="1">
      <alignment horizontal="left" vertical="center" wrapText="1"/>
    </xf>
    <xf numFmtId="0" fontId="4" fillId="0" borderId="2" xfId="0" applyNumberFormat="1" applyFont="1" applyBorder="1" applyAlignment="1">
      <alignment horizontal="center" vertical="center" wrapText="1"/>
    </xf>
    <xf numFmtId="0" fontId="19" fillId="0" borderId="1" xfId="0" applyFont="1" applyBorder="1" applyAlignment="1">
      <alignment horizontal="center" vertical="center"/>
    </xf>
    <xf numFmtId="0" fontId="1" fillId="0" borderId="1" xfId="0" applyFont="1" applyFill="1" applyBorder="1" applyAlignment="1">
      <alignment horizontal="left" vertical="center"/>
    </xf>
    <xf numFmtId="0" fontId="11" fillId="0" borderId="1" xfId="0" applyFont="1" applyFill="1" applyBorder="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6">
    <open main="147" threadCnt="1"/>
    <sheetInfos>
      <sheetInfo cellCmpFml="0" sheetStid="1">
        <open main="2" threadCnt="1"/>
      </sheetInfo>
      <sheetInfo cellCmpFml="0" sheetStid="3">
        <open main="1" threadCnt="1"/>
      </sheetInfo>
      <sheetInfo cellCmpFml="0" sheetStid="4">
        <open threadCnt="1"/>
      </sheetInfo>
      <sheetInfo cellCmpFml="6" sheetStid="6">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www.wps.cn/officeDocument/2023/relationships/woinfos" Target="woinfos.xml"/><Relationship Id="rId12" Type="http://schemas.openxmlformats.org/officeDocument/2006/relationships/styles" Target="styles.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jira.htzq.htsc.com.cn/browse/FICCHEADS-1193" TargetMode="External"/><Relationship Id="rId8" Type="http://schemas.openxmlformats.org/officeDocument/2006/relationships/hyperlink" Target="http://eip.htsc.com.cn/htoa/spa/workflow/static4form/index.html?_rdm=1768790739845#/main/workflow/req?requestid=7411633&amp;_workflowid=12522&amp;f_weaver_belongto_userid=70216&amp;isovertime=0&amp;preloadkey=1768790714101&amp;timestamp=1768790714101&amp;_key=7na5qv" TargetMode="External"/><Relationship Id="rId7" Type="http://schemas.openxmlformats.org/officeDocument/2006/relationships/hyperlink" Target="http://eip.htsc.com.cn/htoa/spa/workflow/static4form/index.html?_rdm=1766545873966#/main/workflow/req?requestid=7188583&amp;_workflowid=12522&amp;f_weaver_belongto_userid=43671&amp;isovertime=0&amp;preloadkey=1766545820215&amp;timestamp=1766545820215&amp;_key=bwwpg8" TargetMode="External"/><Relationship Id="rId6" Type="http://schemas.openxmlformats.org/officeDocument/2006/relationships/hyperlink" Target="http://jira.htzq.htsc.com.cn/browse/FICCHEADS-1197" TargetMode="External"/><Relationship Id="rId5" Type="http://schemas.openxmlformats.org/officeDocument/2006/relationships/hyperlink" Target="http://jira.htzq.htsc.com.cn/browse/FICCHEADS-1110" TargetMode="External"/><Relationship Id="rId4" Type="http://schemas.openxmlformats.org/officeDocument/2006/relationships/hyperlink" Target="http://jira.htzq.htsc.com.cn/browse/FICCHEADS-1194" TargetMode="External"/><Relationship Id="rId3" Type="http://schemas.openxmlformats.org/officeDocument/2006/relationships/hyperlink" Target="http://jira.htzq.htsc.com.cn/browse/FICCHEADS-1189" TargetMode="External"/><Relationship Id="rId22" Type="http://schemas.openxmlformats.org/officeDocument/2006/relationships/hyperlink" Target="http://jira.htzq.htsc.com.cn/browse/FICCHEADS-1200" TargetMode="External"/><Relationship Id="rId21" Type="http://schemas.openxmlformats.org/officeDocument/2006/relationships/hyperlink" Target="http://jira.htzq.htsc.com.cn/browse/FICCHEADS-1202" TargetMode="External"/><Relationship Id="rId20" Type="http://schemas.openxmlformats.org/officeDocument/2006/relationships/hyperlink" Target="http://jira.htzq.htsc.com.cn/browse/FICCHEADS-1199" TargetMode="External"/><Relationship Id="rId2" Type="http://schemas.openxmlformats.org/officeDocument/2006/relationships/hyperlink" Target="http://jira.htzq.htsc.com.cn/browse/FICCHEADS-1140" TargetMode="External"/><Relationship Id="rId19" Type="http://schemas.openxmlformats.org/officeDocument/2006/relationships/hyperlink" Target="http://jira.htzq.htsc.com.cn/browse/FICCHEADS-1177" TargetMode="External"/><Relationship Id="rId18" Type="http://schemas.openxmlformats.org/officeDocument/2006/relationships/hyperlink" Target="http://jira.htzq.htsc.com.cn/browse/FICCHEADS-955" TargetMode="External"/><Relationship Id="rId17" Type="http://schemas.openxmlformats.org/officeDocument/2006/relationships/hyperlink" Target="http://jira.htzq.htsc.com.cn/browse/FICCHEADS-885" TargetMode="External"/><Relationship Id="rId16" Type="http://schemas.openxmlformats.org/officeDocument/2006/relationships/hyperlink" Target="http://jira.htzq.htsc.com.cn/browse/FICCHEADS-832" TargetMode="External"/><Relationship Id="rId15" Type="http://schemas.openxmlformats.org/officeDocument/2006/relationships/hyperlink" Target="http://jira.htzq.htsc.com.cn/browse/FICCHEADS-983" TargetMode="External"/><Relationship Id="rId14" Type="http://schemas.openxmlformats.org/officeDocument/2006/relationships/hyperlink" Target="http://jira.htzq.htsc.com.cn/browse/FICCHEADS-1184" TargetMode="External"/><Relationship Id="rId13" Type="http://schemas.openxmlformats.org/officeDocument/2006/relationships/hyperlink" Target="http://jira.htzq.htsc.com.cn/browse/FICCHEADS-1188" TargetMode="External"/><Relationship Id="rId12" Type="http://schemas.openxmlformats.org/officeDocument/2006/relationships/hyperlink" Target="http://jira.htzq.htsc.com.cn/browse/FICCHEADS-1151" TargetMode="External"/><Relationship Id="rId11" Type="http://schemas.openxmlformats.org/officeDocument/2006/relationships/hyperlink" Target="http://jira.htzq.htsc.com.cn/browse/FICCHEADS-1192" TargetMode="External"/><Relationship Id="rId10" Type="http://schemas.openxmlformats.org/officeDocument/2006/relationships/hyperlink" Target="http://jira.htzq.htsc.com.cn/browse/FICCHEADS-1175" TargetMode="External"/><Relationship Id="rId1" Type="http://schemas.openxmlformats.org/officeDocument/2006/relationships/hyperlink" Target="http://jira.htzq.htsc.com.cn/browse/FICCHEADS-118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48576"/>
  <sheetViews>
    <sheetView tabSelected="1" zoomScale="80" zoomScaleNormal="80" workbookViewId="0">
      <pane xSplit="4" ySplit="1" topLeftCell="M17" activePane="bottomRight" state="frozen"/>
      <selection/>
      <selection pane="topRight"/>
      <selection pane="bottomLeft"/>
      <selection pane="bottomRight" activeCell="M17" sqref="M17"/>
    </sheetView>
  </sheetViews>
  <sheetFormatPr defaultColWidth="9" defaultRowHeight="13.5" zeroHeight="1"/>
  <cols>
    <col min="1" max="1" width="18.75" style="1" customWidth="1"/>
    <col min="2" max="2" width="24.25" style="52" customWidth="1"/>
    <col min="3" max="3" width="28.75" style="1" customWidth="1"/>
    <col min="4" max="4" width="54.875" style="1" customWidth="1"/>
    <col min="5" max="5" width="10.875" style="1" customWidth="1"/>
    <col min="6" max="6" width="10.625" style="1" customWidth="1"/>
    <col min="7" max="7" width="19.375" style="1" customWidth="1"/>
    <col min="8" max="8" width="16.625" style="1" customWidth="1"/>
    <col min="9" max="9" width="16.75" style="1" customWidth="1"/>
    <col min="10" max="10" width="18.25" style="1" customWidth="1"/>
    <col min="11" max="11" width="10" style="1" hidden="1" customWidth="1"/>
    <col min="12" max="12" width="12.3583333333333" style="28" customWidth="1"/>
    <col min="13" max="13" width="21.3666666666667" style="50" customWidth="1"/>
    <col min="14" max="14" width="13" style="1" customWidth="1"/>
    <col min="15" max="15" width="13.375" style="1" customWidth="1"/>
    <col min="16" max="16" width="13.125" style="52" hidden="1" customWidth="1"/>
    <col min="17" max="17" width="9" style="1" customWidth="1"/>
    <col min="18" max="18" width="8.75" style="1" customWidth="1"/>
    <col min="19" max="19" width="25.625" style="1" customWidth="1"/>
    <col min="20" max="20" width="42.775" style="1" customWidth="1"/>
    <col min="21" max="22" width="59.6416666666667" style="1" customWidth="1"/>
    <col min="23" max="16384" width="9" style="1"/>
  </cols>
  <sheetData>
    <row r="1" ht="30" spans="1:21">
      <c r="A1" s="156" t="s">
        <v>0</v>
      </c>
      <c r="B1" s="156" t="s">
        <v>1</v>
      </c>
      <c r="C1" s="156" t="s">
        <v>2</v>
      </c>
      <c r="D1" s="156" t="s">
        <v>3</v>
      </c>
      <c r="E1" s="156" t="s">
        <v>4</v>
      </c>
      <c r="F1" s="156" t="s">
        <v>5</v>
      </c>
      <c r="G1" s="156" t="s">
        <v>6</v>
      </c>
      <c r="H1" s="156" t="s">
        <v>7</v>
      </c>
      <c r="I1" s="165" t="s">
        <v>8</v>
      </c>
      <c r="J1" s="165" t="s">
        <v>9</v>
      </c>
      <c r="K1" s="165" t="s">
        <v>10</v>
      </c>
      <c r="L1" s="166" t="s">
        <v>11</v>
      </c>
      <c r="M1" s="165" t="s">
        <v>12</v>
      </c>
      <c r="N1" s="170" t="s">
        <v>13</v>
      </c>
      <c r="O1" s="171" t="s">
        <v>14</v>
      </c>
      <c r="P1" s="171" t="s">
        <v>15</v>
      </c>
      <c r="Q1" s="171" t="s">
        <v>16</v>
      </c>
      <c r="R1" s="171" t="s">
        <v>17</v>
      </c>
      <c r="S1" s="171" t="s">
        <v>18</v>
      </c>
      <c r="T1" s="175" t="s">
        <v>19</v>
      </c>
      <c r="U1" s="171" t="s">
        <v>20</v>
      </c>
    </row>
    <row r="2" s="1" customFormat="1" ht="45.75" customHeight="1" spans="1:21">
      <c r="A2" s="16" t="s">
        <v>21</v>
      </c>
      <c r="B2" s="58" t="s">
        <v>22</v>
      </c>
      <c r="C2" s="36" t="s">
        <v>23</v>
      </c>
      <c r="D2" s="36"/>
      <c r="E2" s="57" t="s">
        <v>24</v>
      </c>
      <c r="F2" s="57" t="s">
        <v>25</v>
      </c>
      <c r="G2" s="57" t="s">
        <v>26</v>
      </c>
      <c r="H2" s="57" t="s">
        <v>27</v>
      </c>
      <c r="I2" s="57" t="s">
        <v>28</v>
      </c>
      <c r="J2" s="62" t="s">
        <v>29</v>
      </c>
      <c r="K2" s="62"/>
      <c r="L2" s="66" t="s">
        <v>30</v>
      </c>
      <c r="M2" s="172" t="s">
        <v>31</v>
      </c>
      <c r="N2" s="61" t="s">
        <v>32</v>
      </c>
      <c r="O2" s="61" t="s">
        <v>33</v>
      </c>
      <c r="P2" s="57" t="s">
        <v>34</v>
      </c>
      <c r="Q2" s="72" t="s">
        <v>35</v>
      </c>
      <c r="R2" s="72" t="s">
        <v>35</v>
      </c>
      <c r="S2" s="72" t="s">
        <v>36</v>
      </c>
      <c r="T2" s="6" t="s">
        <v>37</v>
      </c>
      <c r="U2" s="177"/>
    </row>
    <row r="3" ht="99" spans="1:21">
      <c r="A3" s="64" t="s">
        <v>38</v>
      </c>
      <c r="B3" s="65" t="s">
        <v>39</v>
      </c>
      <c r="C3" s="33" t="s">
        <v>40</v>
      </c>
      <c r="D3" s="33" t="s">
        <v>41</v>
      </c>
      <c r="E3" s="62" t="s">
        <v>42</v>
      </c>
      <c r="F3" s="163" t="s">
        <v>43</v>
      </c>
      <c r="G3" s="163" t="s">
        <v>44</v>
      </c>
      <c r="H3" s="163" t="s">
        <v>27</v>
      </c>
      <c r="I3" s="163" t="s">
        <v>45</v>
      </c>
      <c r="J3" s="62" t="s">
        <v>46</v>
      </c>
      <c r="K3" s="80"/>
      <c r="L3" s="66" t="s">
        <v>47</v>
      </c>
      <c r="M3" s="172" t="s">
        <v>31</v>
      </c>
      <c r="N3" s="80" t="s">
        <v>48</v>
      </c>
      <c r="O3" s="16" t="s">
        <v>49</v>
      </c>
      <c r="P3" s="6" t="s">
        <v>50</v>
      </c>
      <c r="Q3" s="95" t="s">
        <v>35</v>
      </c>
      <c r="R3" s="95" t="s">
        <v>35</v>
      </c>
      <c r="S3" s="176" t="s">
        <v>51</v>
      </c>
      <c r="T3" s="71" t="s">
        <v>52</v>
      </c>
      <c r="U3" s="13"/>
    </row>
    <row r="4" s="1" customFormat="1" ht="84.75" customHeight="1" spans="1:21">
      <c r="A4" s="64" t="s">
        <v>21</v>
      </c>
      <c r="B4" s="65" t="s">
        <v>53</v>
      </c>
      <c r="C4" s="33" t="s">
        <v>54</v>
      </c>
      <c r="D4" s="33" t="s">
        <v>55</v>
      </c>
      <c r="E4" s="119" t="s">
        <v>24</v>
      </c>
      <c r="F4" s="164" t="s">
        <v>56</v>
      </c>
      <c r="G4" s="164" t="s">
        <v>57</v>
      </c>
      <c r="H4" s="164" t="s">
        <v>27</v>
      </c>
      <c r="I4" s="163" t="s">
        <v>28</v>
      </c>
      <c r="J4" s="62" t="s">
        <v>58</v>
      </c>
      <c r="K4" s="80"/>
      <c r="L4" s="66" t="s">
        <v>47</v>
      </c>
      <c r="M4" s="172" t="s">
        <v>31</v>
      </c>
      <c r="N4" s="80" t="s">
        <v>32</v>
      </c>
      <c r="O4" s="80" t="s">
        <v>49</v>
      </c>
      <c r="P4" s="71"/>
      <c r="Q4" s="95" t="s">
        <v>35</v>
      </c>
      <c r="R4" s="95" t="s">
        <v>35</v>
      </c>
      <c r="S4" s="176" t="s">
        <v>51</v>
      </c>
      <c r="T4" s="71" t="s">
        <v>59</v>
      </c>
      <c r="U4" s="13"/>
    </row>
    <row r="5" s="1" customFormat="1" ht="82.5" spans="1:21">
      <c r="A5" s="64" t="s">
        <v>21</v>
      </c>
      <c r="B5" s="65" t="s">
        <v>60</v>
      </c>
      <c r="C5" s="33" t="s">
        <v>61</v>
      </c>
      <c r="D5" s="33" t="s">
        <v>62</v>
      </c>
      <c r="E5" s="62" t="s">
        <v>24</v>
      </c>
      <c r="F5" s="163" t="s">
        <v>63</v>
      </c>
      <c r="G5" s="163" t="s">
        <v>26</v>
      </c>
      <c r="H5" s="163" t="s">
        <v>64</v>
      </c>
      <c r="I5" s="163" t="s">
        <v>28</v>
      </c>
      <c r="J5" s="62" t="s">
        <v>65</v>
      </c>
      <c r="K5" s="80"/>
      <c r="L5" s="66" t="s">
        <v>30</v>
      </c>
      <c r="M5" s="172" t="s">
        <v>31</v>
      </c>
      <c r="N5" s="80" t="s">
        <v>32</v>
      </c>
      <c r="O5" s="80" t="s">
        <v>49</v>
      </c>
      <c r="P5" s="71"/>
      <c r="Q5" s="95" t="s">
        <v>35</v>
      </c>
      <c r="R5" s="95" t="s">
        <v>35</v>
      </c>
      <c r="S5" s="176" t="s">
        <v>51</v>
      </c>
      <c r="T5" s="71" t="s">
        <v>66</v>
      </c>
      <c r="U5" s="13"/>
    </row>
    <row r="6" ht="61.5" customHeight="1" spans="1:21">
      <c r="A6" s="64" t="s">
        <v>38</v>
      </c>
      <c r="B6" s="65" t="s">
        <v>67</v>
      </c>
      <c r="C6" s="33" t="s">
        <v>68</v>
      </c>
      <c r="D6" s="33" t="s">
        <v>69</v>
      </c>
      <c r="E6" s="62" t="s">
        <v>42</v>
      </c>
      <c r="F6" s="62" t="s">
        <v>70</v>
      </c>
      <c r="G6" s="62" t="s">
        <v>71</v>
      </c>
      <c r="H6" s="62" t="s">
        <v>27</v>
      </c>
      <c r="I6" s="163" t="s">
        <v>72</v>
      </c>
      <c r="J6" s="62" t="s">
        <v>73</v>
      </c>
      <c r="K6" s="80"/>
      <c r="L6" s="66" t="s">
        <v>47</v>
      </c>
      <c r="M6" s="172" t="s">
        <v>31</v>
      </c>
      <c r="N6" s="16" t="s">
        <v>74</v>
      </c>
      <c r="O6" s="16" t="s">
        <v>49</v>
      </c>
      <c r="P6" s="71" t="s">
        <v>50</v>
      </c>
      <c r="Q6" s="95" t="s">
        <v>35</v>
      </c>
      <c r="R6" s="95" t="s">
        <v>35</v>
      </c>
      <c r="S6" s="176" t="s">
        <v>51</v>
      </c>
      <c r="T6" s="71" t="s">
        <v>75</v>
      </c>
      <c r="U6" s="178"/>
    </row>
    <row r="7" ht="33" spans="1:21">
      <c r="A7" s="64" t="s">
        <v>38</v>
      </c>
      <c r="B7" s="65" t="s">
        <v>76</v>
      </c>
      <c r="C7" s="33" t="s">
        <v>77</v>
      </c>
      <c r="D7" s="62" t="s">
        <v>78</v>
      </c>
      <c r="E7" s="62" t="s">
        <v>42</v>
      </c>
      <c r="F7" s="163" t="s">
        <v>79</v>
      </c>
      <c r="G7" s="163" t="s">
        <v>80</v>
      </c>
      <c r="H7" s="163" t="s">
        <v>81</v>
      </c>
      <c r="I7" s="163" t="s">
        <v>45</v>
      </c>
      <c r="J7" s="62" t="s">
        <v>82</v>
      </c>
      <c r="K7" s="80"/>
      <c r="L7" s="66" t="s">
        <v>30</v>
      </c>
      <c r="M7" s="172" t="s">
        <v>31</v>
      </c>
      <c r="N7" s="80" t="s">
        <v>48</v>
      </c>
      <c r="O7" s="72" t="s">
        <v>83</v>
      </c>
      <c r="P7" s="8" t="s">
        <v>50</v>
      </c>
      <c r="Q7" s="95" t="s">
        <v>35</v>
      </c>
      <c r="R7" s="95" t="s">
        <v>35</v>
      </c>
      <c r="S7" s="176" t="s">
        <v>84</v>
      </c>
      <c r="T7" s="71" t="s">
        <v>85</v>
      </c>
      <c r="U7" s="177" t="s">
        <v>86</v>
      </c>
    </row>
    <row r="8" s="1" customFormat="1" ht="53.25" customHeight="1" spans="1:21">
      <c r="A8" s="64" t="s">
        <v>38</v>
      </c>
      <c r="B8" s="65" t="s">
        <v>87</v>
      </c>
      <c r="C8" s="33" t="s">
        <v>88</v>
      </c>
      <c r="D8" s="33" t="s">
        <v>89</v>
      </c>
      <c r="E8" s="33" t="s">
        <v>42</v>
      </c>
      <c r="F8" s="33" t="s">
        <v>56</v>
      </c>
      <c r="G8" s="33" t="s">
        <v>56</v>
      </c>
      <c r="H8" s="33" t="s">
        <v>90</v>
      </c>
      <c r="I8" s="33" t="s">
        <v>45</v>
      </c>
      <c r="J8" s="33"/>
      <c r="K8" s="83"/>
      <c r="L8" s="33" t="s">
        <v>91</v>
      </c>
      <c r="M8" s="99" t="s">
        <v>92</v>
      </c>
      <c r="N8" s="61" t="s">
        <v>93</v>
      </c>
      <c r="O8" s="72" t="s">
        <v>83</v>
      </c>
      <c r="P8" s="57"/>
      <c r="Q8" s="72" t="s">
        <v>35</v>
      </c>
      <c r="R8" s="95" t="s">
        <v>35</v>
      </c>
      <c r="S8" s="72" t="s">
        <v>94</v>
      </c>
      <c r="T8" s="6" t="s">
        <v>95</v>
      </c>
      <c r="U8" s="177" t="s">
        <v>86</v>
      </c>
    </row>
    <row r="9" s="1" customFormat="1" ht="42" customHeight="1" spans="1:21">
      <c r="A9" s="64" t="s">
        <v>38</v>
      </c>
      <c r="B9" s="65" t="s">
        <v>96</v>
      </c>
      <c r="C9" s="33" t="s">
        <v>97</v>
      </c>
      <c r="D9" s="33" t="s">
        <v>98</v>
      </c>
      <c r="E9" s="33" t="s">
        <v>42</v>
      </c>
      <c r="F9" s="33" t="s">
        <v>63</v>
      </c>
      <c r="G9" s="33" t="s">
        <v>99</v>
      </c>
      <c r="H9" s="33" t="s">
        <v>27</v>
      </c>
      <c r="I9" s="33" t="s">
        <v>45</v>
      </c>
      <c r="J9" s="33" t="s">
        <v>100</v>
      </c>
      <c r="K9" s="62"/>
      <c r="L9" s="33" t="s">
        <v>101</v>
      </c>
      <c r="M9" s="99" t="s">
        <v>102</v>
      </c>
      <c r="N9" s="80" t="s">
        <v>103</v>
      </c>
      <c r="O9" s="61" t="s">
        <v>104</v>
      </c>
      <c r="P9" s="57"/>
      <c r="Q9" s="72" t="s">
        <v>35</v>
      </c>
      <c r="R9" s="72" t="s">
        <v>35</v>
      </c>
      <c r="S9" s="72" t="s">
        <v>36</v>
      </c>
      <c r="T9" s="6" t="s">
        <v>105</v>
      </c>
      <c r="U9" s="177" t="s">
        <v>86</v>
      </c>
    </row>
    <row r="10" s="1" customFormat="1" ht="64.5" customHeight="1" spans="1:21">
      <c r="A10" s="64" t="s">
        <v>38</v>
      </c>
      <c r="B10" s="65" t="s">
        <v>106</v>
      </c>
      <c r="C10" s="33" t="s">
        <v>107</v>
      </c>
      <c r="D10" s="33" t="s">
        <v>108</v>
      </c>
      <c r="E10" s="33" t="s">
        <v>42</v>
      </c>
      <c r="F10" s="33" t="s">
        <v>109</v>
      </c>
      <c r="G10" s="33" t="s">
        <v>110</v>
      </c>
      <c r="H10" s="33" t="s">
        <v>27</v>
      </c>
      <c r="I10" s="33" t="s">
        <v>28</v>
      </c>
      <c r="J10" s="33" t="s">
        <v>111</v>
      </c>
      <c r="K10" s="80"/>
      <c r="L10" s="66" t="s">
        <v>101</v>
      </c>
      <c r="M10" s="100" t="s">
        <v>112</v>
      </c>
      <c r="N10" s="80" t="s">
        <v>113</v>
      </c>
      <c r="O10" s="16" t="s">
        <v>49</v>
      </c>
      <c r="P10" s="6"/>
      <c r="Q10" s="95" t="s">
        <v>35</v>
      </c>
      <c r="R10" s="95" t="s">
        <v>35</v>
      </c>
      <c r="S10" s="176"/>
      <c r="T10" s="71"/>
      <c r="U10" s="13"/>
    </row>
    <row r="11" s="1" customFormat="1" ht="42" customHeight="1" spans="1:21">
      <c r="A11" s="64" t="s">
        <v>38</v>
      </c>
      <c r="B11" s="65" t="s">
        <v>114</v>
      </c>
      <c r="C11" s="33" t="s">
        <v>115</v>
      </c>
      <c r="D11" s="33" t="s">
        <v>116</v>
      </c>
      <c r="E11" s="33" t="s">
        <v>42</v>
      </c>
      <c r="F11" s="33" t="s">
        <v>63</v>
      </c>
      <c r="G11" s="33" t="s">
        <v>117</v>
      </c>
      <c r="H11" s="33" t="s">
        <v>118</v>
      </c>
      <c r="I11" s="33" t="s">
        <v>28</v>
      </c>
      <c r="J11" s="33" t="s">
        <v>119</v>
      </c>
      <c r="K11" s="80"/>
      <c r="L11" s="66" t="s">
        <v>47</v>
      </c>
      <c r="M11" s="99" t="s">
        <v>120</v>
      </c>
      <c r="N11" s="80" t="s">
        <v>32</v>
      </c>
      <c r="O11" s="16" t="s">
        <v>49</v>
      </c>
      <c r="P11" s="71"/>
      <c r="Q11" s="95" t="s">
        <v>35</v>
      </c>
      <c r="R11" s="95" t="s">
        <v>121</v>
      </c>
      <c r="S11" s="176" t="s">
        <v>122</v>
      </c>
      <c r="T11" s="71"/>
      <c r="U11" s="13"/>
    </row>
    <row r="12" s="1" customFormat="1" ht="56.25" customHeight="1" spans="1:21">
      <c r="A12" s="64" t="s">
        <v>38</v>
      </c>
      <c r="B12" s="65" t="s">
        <v>123</v>
      </c>
      <c r="C12" s="33" t="s">
        <v>124</v>
      </c>
      <c r="D12" s="33" t="s">
        <v>125</v>
      </c>
      <c r="E12" s="33" t="s">
        <v>42</v>
      </c>
      <c r="F12" s="33" t="s">
        <v>126</v>
      </c>
      <c r="G12" s="33" t="s">
        <v>127</v>
      </c>
      <c r="H12" s="33" t="s">
        <v>128</v>
      </c>
      <c r="I12" s="33" t="s">
        <v>129</v>
      </c>
      <c r="J12" s="33"/>
      <c r="K12" s="80"/>
      <c r="L12" s="33" t="s">
        <v>130</v>
      </c>
      <c r="M12" s="99" t="s">
        <v>131</v>
      </c>
      <c r="N12" s="80" t="s">
        <v>132</v>
      </c>
      <c r="O12" s="80" t="s">
        <v>133</v>
      </c>
      <c r="P12" s="71"/>
      <c r="Q12" s="95" t="s">
        <v>35</v>
      </c>
      <c r="R12" s="95" t="s">
        <v>35</v>
      </c>
      <c r="S12" s="176"/>
      <c r="T12" s="71"/>
      <c r="U12" s="13"/>
    </row>
    <row r="13" s="1" customFormat="1" ht="42" customHeight="1" spans="1:21">
      <c r="A13" s="64" t="s">
        <v>38</v>
      </c>
      <c r="B13" s="65" t="s">
        <v>134</v>
      </c>
      <c r="C13" s="33" t="s">
        <v>135</v>
      </c>
      <c r="D13" s="33" t="s">
        <v>136</v>
      </c>
      <c r="E13" s="33" t="s">
        <v>42</v>
      </c>
      <c r="F13" s="33" t="s">
        <v>126</v>
      </c>
      <c r="G13" s="33" t="s">
        <v>137</v>
      </c>
      <c r="H13" s="33" t="s">
        <v>27</v>
      </c>
      <c r="I13" s="33" t="s">
        <v>129</v>
      </c>
      <c r="J13" s="33" t="s">
        <v>138</v>
      </c>
      <c r="K13" s="80"/>
      <c r="L13" s="33" t="s">
        <v>130</v>
      </c>
      <c r="M13" s="99" t="s">
        <v>139</v>
      </c>
      <c r="N13" s="80" t="s">
        <v>132</v>
      </c>
      <c r="O13" s="80" t="s">
        <v>133</v>
      </c>
      <c r="P13" s="71"/>
      <c r="Q13" s="95" t="s">
        <v>35</v>
      </c>
      <c r="R13" s="95" t="s">
        <v>35</v>
      </c>
      <c r="S13" s="176"/>
      <c r="T13" s="71"/>
      <c r="U13" s="13"/>
    </row>
    <row r="14" s="1" customFormat="1" ht="57" customHeight="1" spans="1:21">
      <c r="A14" s="64" t="s">
        <v>38</v>
      </c>
      <c r="B14" s="65" t="s">
        <v>140</v>
      </c>
      <c r="C14" s="33" t="s">
        <v>141</v>
      </c>
      <c r="D14" s="33" t="s">
        <v>142</v>
      </c>
      <c r="E14" s="33" t="s">
        <v>42</v>
      </c>
      <c r="F14" s="33" t="s">
        <v>79</v>
      </c>
      <c r="G14" s="33" t="s">
        <v>143</v>
      </c>
      <c r="H14" s="33" t="s">
        <v>144</v>
      </c>
      <c r="I14" s="33" t="s">
        <v>145</v>
      </c>
      <c r="J14" s="33" t="s">
        <v>146</v>
      </c>
      <c r="K14" s="80"/>
      <c r="L14" s="33" t="s">
        <v>147</v>
      </c>
      <c r="M14" s="99" t="s">
        <v>148</v>
      </c>
      <c r="N14" s="80" t="s">
        <v>149</v>
      </c>
      <c r="O14" s="80" t="s">
        <v>133</v>
      </c>
      <c r="P14" s="71"/>
      <c r="Q14" s="95" t="s">
        <v>35</v>
      </c>
      <c r="R14" s="95" t="s">
        <v>121</v>
      </c>
      <c r="S14" s="176" t="s">
        <v>122</v>
      </c>
      <c r="T14" s="71"/>
      <c r="U14" s="178" t="s">
        <v>150</v>
      </c>
    </row>
    <row r="15" s="1" customFormat="1" ht="71.25" customHeight="1" spans="1:21">
      <c r="A15" s="64" t="s">
        <v>38</v>
      </c>
      <c r="B15" s="65" t="s">
        <v>151</v>
      </c>
      <c r="C15" s="33" t="s">
        <v>152</v>
      </c>
      <c r="D15" s="33" t="s">
        <v>153</v>
      </c>
      <c r="E15" s="33" t="s">
        <v>42</v>
      </c>
      <c r="F15" s="33" t="s">
        <v>79</v>
      </c>
      <c r="G15" s="33" t="s">
        <v>143</v>
      </c>
      <c r="H15" s="33" t="s">
        <v>154</v>
      </c>
      <c r="I15" s="33" t="s">
        <v>145</v>
      </c>
      <c r="J15" s="33" t="s">
        <v>146</v>
      </c>
      <c r="K15" s="80"/>
      <c r="L15" s="33" t="s">
        <v>147</v>
      </c>
      <c r="M15" s="99" t="s">
        <v>155</v>
      </c>
      <c r="N15" s="80" t="s">
        <v>149</v>
      </c>
      <c r="O15" s="80" t="s">
        <v>133</v>
      </c>
      <c r="P15" s="8"/>
      <c r="Q15" s="95" t="s">
        <v>35</v>
      </c>
      <c r="R15" s="95"/>
      <c r="S15" s="176"/>
      <c r="T15" s="71"/>
      <c r="U15" s="177"/>
    </row>
    <row r="16" s="1" customFormat="1" ht="62.25" customHeight="1" spans="1:21">
      <c r="A16" s="64" t="s">
        <v>38</v>
      </c>
      <c r="B16" s="65" t="s">
        <v>156</v>
      </c>
      <c r="C16" s="33" t="s">
        <v>157</v>
      </c>
      <c r="D16" s="33" t="s">
        <v>158</v>
      </c>
      <c r="E16" s="33" t="s">
        <v>42</v>
      </c>
      <c r="F16" s="33" t="s">
        <v>79</v>
      </c>
      <c r="G16" s="33" t="s">
        <v>143</v>
      </c>
      <c r="H16" s="33" t="s">
        <v>154</v>
      </c>
      <c r="I16" s="33" t="s">
        <v>145</v>
      </c>
      <c r="J16" s="33" t="s">
        <v>146</v>
      </c>
      <c r="K16" s="80"/>
      <c r="L16" s="33" t="s">
        <v>147</v>
      </c>
      <c r="M16" s="99" t="s">
        <v>159</v>
      </c>
      <c r="N16" s="80" t="s">
        <v>149</v>
      </c>
      <c r="O16" s="80" t="s">
        <v>133</v>
      </c>
      <c r="P16" s="71"/>
      <c r="Q16" s="95" t="s">
        <v>121</v>
      </c>
      <c r="R16" s="95" t="s">
        <v>121</v>
      </c>
      <c r="S16" s="176" t="s">
        <v>122</v>
      </c>
      <c r="T16" s="71"/>
      <c r="U16" s="179" t="s">
        <v>160</v>
      </c>
    </row>
    <row r="17" s="48" customFormat="1" ht="42" customHeight="1" spans="1:21">
      <c r="A17" s="64" t="s">
        <v>38</v>
      </c>
      <c r="B17" s="157" t="s">
        <v>161</v>
      </c>
      <c r="C17" s="36" t="s">
        <v>162</v>
      </c>
      <c r="D17" s="36" t="s">
        <v>163</v>
      </c>
      <c r="E17" s="36" t="s">
        <v>42</v>
      </c>
      <c r="F17" s="36" t="s">
        <v>164</v>
      </c>
      <c r="G17" s="36" t="s">
        <v>165</v>
      </c>
      <c r="H17" s="36" t="s">
        <v>27</v>
      </c>
      <c r="I17" s="36" t="s">
        <v>72</v>
      </c>
      <c r="J17" s="36"/>
      <c r="K17" s="80"/>
      <c r="L17" s="59" t="s">
        <v>47</v>
      </c>
      <c r="M17" s="99" t="s">
        <v>166</v>
      </c>
      <c r="N17" s="80" t="s">
        <v>74</v>
      </c>
      <c r="O17" s="80" t="s">
        <v>49</v>
      </c>
      <c r="P17" s="71"/>
      <c r="Q17" s="95" t="s">
        <v>35</v>
      </c>
      <c r="R17" s="95" t="s">
        <v>35</v>
      </c>
      <c r="S17" s="176" t="s">
        <v>84</v>
      </c>
      <c r="T17" s="71" t="s">
        <v>167</v>
      </c>
      <c r="U17" s="179"/>
    </row>
    <row r="18" s="1" customFormat="1" ht="42" customHeight="1" spans="1:21">
      <c r="A18" s="64" t="s">
        <v>38</v>
      </c>
      <c r="B18" s="63" t="s">
        <v>168</v>
      </c>
      <c r="C18" s="33" t="s">
        <v>169</v>
      </c>
      <c r="D18" s="33" t="s">
        <v>170</v>
      </c>
      <c r="E18" s="33" t="s">
        <v>42</v>
      </c>
      <c r="F18" s="33" t="s">
        <v>164</v>
      </c>
      <c r="G18" s="33" t="s">
        <v>164</v>
      </c>
      <c r="H18" s="33" t="s">
        <v>90</v>
      </c>
      <c r="I18" s="33" t="s">
        <v>72</v>
      </c>
      <c r="J18" s="33"/>
      <c r="K18" s="80"/>
      <c r="L18" s="66" t="s">
        <v>47</v>
      </c>
      <c r="M18" s="100" t="s">
        <v>171</v>
      </c>
      <c r="N18" s="80" t="s">
        <v>74</v>
      </c>
      <c r="O18" s="16" t="s">
        <v>49</v>
      </c>
      <c r="P18" s="71"/>
      <c r="Q18" s="95" t="s">
        <v>35</v>
      </c>
      <c r="R18" s="95" t="s">
        <v>121</v>
      </c>
      <c r="S18" s="176" t="s">
        <v>122</v>
      </c>
      <c r="T18" s="71"/>
      <c r="U18" s="179"/>
    </row>
    <row r="19" s="1" customFormat="1" ht="42" customHeight="1" spans="1:21">
      <c r="A19" s="64" t="s">
        <v>38</v>
      </c>
      <c r="B19" s="63" t="s">
        <v>172</v>
      </c>
      <c r="C19" s="33" t="s">
        <v>173</v>
      </c>
      <c r="D19" s="33" t="s">
        <v>174</v>
      </c>
      <c r="E19" s="33" t="s">
        <v>42</v>
      </c>
      <c r="F19" s="33" t="s">
        <v>56</v>
      </c>
      <c r="G19" s="33" t="s">
        <v>175</v>
      </c>
      <c r="H19" s="33" t="s">
        <v>27</v>
      </c>
      <c r="I19" s="33" t="s">
        <v>72</v>
      </c>
      <c r="J19" s="33" t="s">
        <v>176</v>
      </c>
      <c r="K19" s="80"/>
      <c r="L19" s="66" t="s">
        <v>47</v>
      </c>
      <c r="M19" s="100" t="s">
        <v>177</v>
      </c>
      <c r="N19" s="80" t="s">
        <v>74</v>
      </c>
      <c r="O19" s="16" t="s">
        <v>49</v>
      </c>
      <c r="P19" s="71"/>
      <c r="Q19" s="95" t="s">
        <v>35</v>
      </c>
      <c r="R19" s="95" t="s">
        <v>121</v>
      </c>
      <c r="S19" s="176" t="s">
        <v>122</v>
      </c>
      <c r="T19" s="71"/>
      <c r="U19" s="180"/>
    </row>
    <row r="20" s="1" customFormat="1" ht="104.6" customHeight="1" spans="1:21">
      <c r="A20" s="64" t="s">
        <v>38</v>
      </c>
      <c r="B20" s="63" t="s">
        <v>178</v>
      </c>
      <c r="C20" s="33" t="s">
        <v>179</v>
      </c>
      <c r="D20" s="33" t="s">
        <v>180</v>
      </c>
      <c r="E20" s="33" t="s">
        <v>42</v>
      </c>
      <c r="F20" s="33" t="s">
        <v>79</v>
      </c>
      <c r="G20" s="33" t="s">
        <v>80</v>
      </c>
      <c r="H20" s="33" t="s">
        <v>80</v>
      </c>
      <c r="I20" s="33" t="s">
        <v>181</v>
      </c>
      <c r="J20" s="33" t="s">
        <v>182</v>
      </c>
      <c r="K20" s="80"/>
      <c r="L20" s="62" t="s">
        <v>183</v>
      </c>
      <c r="M20" s="100" t="s">
        <v>184</v>
      </c>
      <c r="N20" s="80" t="s">
        <v>93</v>
      </c>
      <c r="O20" s="72" t="s">
        <v>83</v>
      </c>
      <c r="P20" s="71"/>
      <c r="Q20" s="72" t="s">
        <v>35</v>
      </c>
      <c r="R20" s="95" t="s">
        <v>185</v>
      </c>
      <c r="S20" s="176"/>
      <c r="T20" s="71" t="s">
        <v>186</v>
      </c>
      <c r="U20" s="180" t="s">
        <v>187</v>
      </c>
    </row>
    <row r="21" s="1" customFormat="1" ht="113.35" customHeight="1" spans="1:21">
      <c r="A21" s="64" t="s">
        <v>38</v>
      </c>
      <c r="B21" s="63" t="s">
        <v>188</v>
      </c>
      <c r="C21" s="33" t="s">
        <v>189</v>
      </c>
      <c r="D21" s="33" t="s">
        <v>190</v>
      </c>
      <c r="E21" s="33" t="s">
        <v>42</v>
      </c>
      <c r="F21" s="33" t="s">
        <v>79</v>
      </c>
      <c r="G21" s="33" t="s">
        <v>80</v>
      </c>
      <c r="H21" s="33" t="s">
        <v>191</v>
      </c>
      <c r="I21" s="33" t="s">
        <v>181</v>
      </c>
      <c r="J21" s="33" t="s">
        <v>182</v>
      </c>
      <c r="K21" s="80"/>
      <c r="L21" s="62" t="s">
        <v>183</v>
      </c>
      <c r="M21" s="100" t="s">
        <v>192</v>
      </c>
      <c r="N21" s="80" t="s">
        <v>149</v>
      </c>
      <c r="O21" s="16" t="s">
        <v>33</v>
      </c>
      <c r="P21" s="71"/>
      <c r="Q21" s="95" t="s">
        <v>35</v>
      </c>
      <c r="R21" s="95" t="s">
        <v>185</v>
      </c>
      <c r="S21" s="176"/>
      <c r="T21" s="71"/>
      <c r="U21" s="179"/>
    </row>
    <row r="22" s="1" customFormat="1" ht="68.6" customHeight="1" spans="1:21">
      <c r="A22" s="64" t="s">
        <v>193</v>
      </c>
      <c r="B22" s="69" t="s">
        <v>194</v>
      </c>
      <c r="C22" s="16" t="s">
        <v>195</v>
      </c>
      <c r="D22" s="158" t="s">
        <v>196</v>
      </c>
      <c r="E22" s="57" t="s">
        <v>42</v>
      </c>
      <c r="F22" s="57" t="s">
        <v>197</v>
      </c>
      <c r="G22" s="95" t="s">
        <v>198</v>
      </c>
      <c r="H22" s="163" t="s">
        <v>27</v>
      </c>
      <c r="I22" s="82"/>
      <c r="J22" s="57"/>
      <c r="K22" s="80"/>
      <c r="L22" s="66" t="s">
        <v>199</v>
      </c>
      <c r="M22" s="172" t="s">
        <v>31</v>
      </c>
      <c r="N22" s="16" t="s">
        <v>74</v>
      </c>
      <c r="O22" s="16" t="s">
        <v>49</v>
      </c>
      <c r="P22" s="71" t="s">
        <v>50</v>
      </c>
      <c r="Q22" s="14" t="s">
        <v>35</v>
      </c>
      <c r="R22" s="14" t="s">
        <v>35</v>
      </c>
      <c r="S22" s="136" t="s">
        <v>94</v>
      </c>
      <c r="T22" s="71" t="s">
        <v>200</v>
      </c>
      <c r="U22" s="13"/>
    </row>
    <row r="23" s="1" customFormat="1" ht="63.35" customHeight="1" spans="1:21">
      <c r="A23" s="14" t="s">
        <v>201</v>
      </c>
      <c r="B23" s="69" t="s">
        <v>202</v>
      </c>
      <c r="C23" s="70" t="s">
        <v>203</v>
      </c>
      <c r="D23" s="70" t="s">
        <v>204</v>
      </c>
      <c r="E23" s="57" t="s">
        <v>42</v>
      </c>
      <c r="F23" s="57" t="s">
        <v>205</v>
      </c>
      <c r="G23" s="95" t="s">
        <v>206</v>
      </c>
      <c r="H23" s="163" t="s">
        <v>27</v>
      </c>
      <c r="I23" s="82"/>
      <c r="J23" s="57"/>
      <c r="K23" s="80"/>
      <c r="L23" s="66" t="s">
        <v>207</v>
      </c>
      <c r="M23" s="172" t="s">
        <v>31</v>
      </c>
      <c r="N23" s="16" t="s">
        <v>74</v>
      </c>
      <c r="O23" s="16" t="s">
        <v>49</v>
      </c>
      <c r="P23" s="71" t="s">
        <v>50</v>
      </c>
      <c r="Q23" s="95" t="s">
        <v>35</v>
      </c>
      <c r="R23" s="95" t="s">
        <v>35</v>
      </c>
      <c r="S23" s="176" t="s">
        <v>51</v>
      </c>
      <c r="T23" s="71" t="s">
        <v>208</v>
      </c>
      <c r="U23" s="13"/>
    </row>
    <row r="24" s="1" customFormat="1" ht="42" customHeight="1" spans="1:21">
      <c r="A24" s="14" t="s">
        <v>201</v>
      </c>
      <c r="B24" s="69" t="s">
        <v>209</v>
      </c>
      <c r="C24" s="70" t="s">
        <v>210</v>
      </c>
      <c r="D24" s="70" t="s">
        <v>211</v>
      </c>
      <c r="E24" s="57" t="s">
        <v>42</v>
      </c>
      <c r="F24" s="57"/>
      <c r="G24" s="95"/>
      <c r="H24" s="57"/>
      <c r="I24" s="82"/>
      <c r="J24" s="57"/>
      <c r="K24" s="80"/>
      <c r="L24" s="66" t="s">
        <v>207</v>
      </c>
      <c r="M24" s="172" t="s">
        <v>31</v>
      </c>
      <c r="N24" s="16" t="s">
        <v>93</v>
      </c>
      <c r="O24" s="16" t="s">
        <v>83</v>
      </c>
      <c r="P24" s="71" t="s">
        <v>50</v>
      </c>
      <c r="Q24" s="95" t="s">
        <v>35</v>
      </c>
      <c r="R24" s="95" t="s">
        <v>35</v>
      </c>
      <c r="S24" s="176" t="s">
        <v>51</v>
      </c>
      <c r="T24" s="71" t="s">
        <v>212</v>
      </c>
      <c r="U24" s="177" t="s">
        <v>86</v>
      </c>
    </row>
    <row r="25" ht="42" customHeight="1" spans="1:21">
      <c r="A25" s="64" t="s">
        <v>193</v>
      </c>
      <c r="B25" s="69" t="s">
        <v>213</v>
      </c>
      <c r="C25" s="159" t="s">
        <v>214</v>
      </c>
      <c r="D25" s="158" t="s">
        <v>215</v>
      </c>
      <c r="E25" s="57"/>
      <c r="F25" s="57"/>
      <c r="G25" s="95"/>
      <c r="H25" s="163"/>
      <c r="I25" s="82"/>
      <c r="J25" s="57"/>
      <c r="K25" s="80"/>
      <c r="L25" s="66"/>
      <c r="M25" s="100" t="s">
        <v>216</v>
      </c>
      <c r="N25" s="16" t="s">
        <v>74</v>
      </c>
      <c r="O25" s="16" t="s">
        <v>49</v>
      </c>
      <c r="P25" s="71"/>
      <c r="Q25" s="14" t="s">
        <v>35</v>
      </c>
      <c r="R25" s="14" t="s">
        <v>121</v>
      </c>
      <c r="S25" s="136" t="s">
        <v>122</v>
      </c>
      <c r="T25" s="71"/>
      <c r="U25" s="13"/>
    </row>
    <row r="26" ht="16.5" spans="1:21">
      <c r="A26" s="14"/>
      <c r="B26" s="69"/>
      <c r="C26" s="70"/>
      <c r="D26" s="70"/>
      <c r="E26" s="57"/>
      <c r="F26" s="57"/>
      <c r="G26" s="95"/>
      <c r="H26" s="163"/>
      <c r="I26" s="82"/>
      <c r="J26" s="57"/>
      <c r="K26" s="80"/>
      <c r="L26" s="66"/>
      <c r="M26" s="57"/>
      <c r="N26" s="16"/>
      <c r="O26" s="16"/>
      <c r="P26" s="71"/>
      <c r="Q26" s="95"/>
      <c r="R26" s="95"/>
      <c r="S26" s="176"/>
      <c r="T26" s="71"/>
      <c r="U26" s="13"/>
    </row>
    <row r="27" ht="16.5" spans="1:21">
      <c r="A27" s="14"/>
      <c r="B27" s="69"/>
      <c r="C27" s="70"/>
      <c r="D27" s="70"/>
      <c r="E27" s="57"/>
      <c r="F27" s="57"/>
      <c r="G27" s="95"/>
      <c r="H27" s="57"/>
      <c r="I27" s="82"/>
      <c r="J27" s="57"/>
      <c r="K27" s="80"/>
      <c r="L27" s="66"/>
      <c r="M27" s="57"/>
      <c r="N27" s="16"/>
      <c r="O27" s="16"/>
      <c r="P27" s="71"/>
      <c r="Q27" s="95"/>
      <c r="R27" s="95"/>
      <c r="S27" s="176"/>
      <c r="T27" s="71"/>
      <c r="U27" s="177"/>
    </row>
    <row r="28" ht="16.5" spans="1:21">
      <c r="A28" s="16"/>
      <c r="B28" s="69"/>
      <c r="C28" s="71"/>
      <c r="D28" s="36"/>
      <c r="E28" s="57"/>
      <c r="F28" s="95"/>
      <c r="G28" s="95"/>
      <c r="H28" s="95"/>
      <c r="I28" s="82"/>
      <c r="J28" s="57"/>
      <c r="K28" s="80"/>
      <c r="L28" s="59"/>
      <c r="M28" s="62"/>
      <c r="N28" s="80"/>
      <c r="O28" s="95"/>
      <c r="P28" s="71"/>
      <c r="Q28" s="80"/>
      <c r="R28" s="80"/>
      <c r="S28" s="80"/>
      <c r="T28" s="71"/>
      <c r="U28" s="177"/>
    </row>
    <row r="29" ht="26.1" customHeight="1" spans="1:21">
      <c r="A29" s="14"/>
      <c r="B29" s="160"/>
      <c r="C29" s="16"/>
      <c r="D29" s="62"/>
      <c r="E29" s="83"/>
      <c r="F29" s="14"/>
      <c r="G29" s="14"/>
      <c r="H29" s="14"/>
      <c r="I29" s="167"/>
      <c r="J29" s="66"/>
      <c r="K29" s="168"/>
      <c r="L29" s="19"/>
      <c r="M29" s="62"/>
      <c r="N29" s="16"/>
      <c r="O29" s="16"/>
      <c r="P29" s="6"/>
      <c r="Q29" s="14"/>
      <c r="R29" s="14"/>
      <c r="S29" s="14"/>
      <c r="T29" s="6"/>
      <c r="U29" s="13"/>
    </row>
    <row r="30" ht="24.1" customHeight="1" spans="1:21">
      <c r="A30" s="16"/>
      <c r="B30" s="120"/>
      <c r="C30" s="80"/>
      <c r="D30" s="62"/>
      <c r="E30" s="83"/>
      <c r="F30" s="14"/>
      <c r="G30" s="14"/>
      <c r="H30" s="14"/>
      <c r="I30" s="167"/>
      <c r="J30" s="66"/>
      <c r="L30" s="19"/>
      <c r="M30" s="62"/>
      <c r="N30" s="16"/>
      <c r="O30" s="16"/>
      <c r="P30" s="6"/>
      <c r="Q30" s="14"/>
      <c r="R30" s="14"/>
      <c r="S30" s="14"/>
      <c r="T30" s="6"/>
      <c r="U30" s="13"/>
    </row>
    <row r="31" ht="16.5" spans="1:21">
      <c r="A31" s="14"/>
      <c r="B31" s="90"/>
      <c r="C31" s="14"/>
      <c r="D31" s="14"/>
      <c r="E31" s="14"/>
      <c r="F31" s="14"/>
      <c r="G31" s="14"/>
      <c r="H31" s="14"/>
      <c r="I31" s="14"/>
      <c r="J31" s="14"/>
      <c r="K31" s="14"/>
      <c r="L31" s="19"/>
      <c r="M31" s="83"/>
      <c r="N31" s="14"/>
      <c r="O31" s="14"/>
      <c r="P31" s="90"/>
      <c r="Q31" s="14"/>
      <c r="R31" s="14"/>
      <c r="S31" s="14"/>
      <c r="T31" s="14"/>
      <c r="U31" s="14"/>
    </row>
    <row r="32" s="154" customFormat="1" ht="16.5" spans="2:16">
      <c r="B32" s="161" t="s">
        <v>217</v>
      </c>
      <c r="C32" s="162"/>
      <c r="D32" s="162"/>
      <c r="L32" s="169"/>
      <c r="M32" s="173"/>
      <c r="P32" s="174"/>
    </row>
    <row r="33" ht="16.5" spans="1:21">
      <c r="A33" s="14" t="s">
        <v>218</v>
      </c>
      <c r="B33" s="74"/>
      <c r="C33" s="80" t="s">
        <v>219</v>
      </c>
      <c r="D33" s="62"/>
      <c r="E33" s="83" t="s">
        <v>42</v>
      </c>
      <c r="F33" s="14"/>
      <c r="G33" s="14"/>
      <c r="H33" s="14"/>
      <c r="I33" s="16" t="s">
        <v>220</v>
      </c>
      <c r="J33" s="72" t="s">
        <v>221</v>
      </c>
      <c r="K33" s="16"/>
      <c r="L33" s="66" t="s">
        <v>222</v>
      </c>
      <c r="M33" s="172" t="s">
        <v>31</v>
      </c>
      <c r="N33" s="16" t="s">
        <v>222</v>
      </c>
      <c r="O33" s="16" t="s">
        <v>223</v>
      </c>
      <c r="P33" s="6"/>
      <c r="Q33" s="14" t="s">
        <v>35</v>
      </c>
      <c r="R33" s="16" t="s">
        <v>35</v>
      </c>
      <c r="S33" s="176" t="s">
        <v>84</v>
      </c>
      <c r="T33" s="16"/>
      <c r="U33" s="6"/>
    </row>
    <row r="34" s="155" customFormat="1" ht="33" spans="1:22">
      <c r="A34" s="14" t="s">
        <v>218</v>
      </c>
      <c r="B34" s="120"/>
      <c r="C34" s="72" t="s">
        <v>224</v>
      </c>
      <c r="D34" s="137"/>
      <c r="E34" s="83" t="s">
        <v>42</v>
      </c>
      <c r="F34" s="14"/>
      <c r="G34" s="14"/>
      <c r="H34" s="14"/>
      <c r="I34" s="16" t="s">
        <v>220</v>
      </c>
      <c r="J34" s="72" t="s">
        <v>225</v>
      </c>
      <c r="K34" s="72"/>
      <c r="L34" s="18" t="s">
        <v>103</v>
      </c>
      <c r="M34" s="172" t="s">
        <v>31</v>
      </c>
      <c r="N34" s="72" t="s">
        <v>103</v>
      </c>
      <c r="O34" s="72" t="s">
        <v>104</v>
      </c>
      <c r="P34" s="62" t="s">
        <v>226</v>
      </c>
      <c r="Q34" s="14" t="s">
        <v>35</v>
      </c>
      <c r="R34" s="16" t="s">
        <v>35</v>
      </c>
      <c r="S34" s="80" t="s">
        <v>227</v>
      </c>
      <c r="T34" s="16"/>
      <c r="U34" s="16"/>
      <c r="V34" s="1"/>
    </row>
    <row r="35" s="155" customFormat="1" ht="33" spans="1:22">
      <c r="A35" s="14" t="s">
        <v>218</v>
      </c>
      <c r="B35" s="118"/>
      <c r="C35" s="119" t="s">
        <v>228</v>
      </c>
      <c r="D35" s="181"/>
      <c r="E35" s="117" t="s">
        <v>42</v>
      </c>
      <c r="F35" s="14"/>
      <c r="G35" s="14"/>
      <c r="H35" s="14"/>
      <c r="I35" s="14"/>
      <c r="J35" s="72"/>
      <c r="K35" s="72"/>
      <c r="L35" s="19"/>
      <c r="M35" s="172" t="s">
        <v>31</v>
      </c>
      <c r="N35" s="72" t="s">
        <v>229</v>
      </c>
      <c r="O35" s="72" t="s">
        <v>83</v>
      </c>
      <c r="P35" s="6" t="s">
        <v>230</v>
      </c>
      <c r="Q35" s="14" t="s">
        <v>35</v>
      </c>
      <c r="R35" s="16" t="s">
        <v>35</v>
      </c>
      <c r="S35" s="176" t="s">
        <v>227</v>
      </c>
      <c r="T35" s="16"/>
      <c r="U35" s="177"/>
      <c r="V35" s="1"/>
    </row>
    <row r="36" ht="33" spans="1:21">
      <c r="A36" s="14" t="s">
        <v>218</v>
      </c>
      <c r="B36" s="74" t="s">
        <v>231</v>
      </c>
      <c r="C36" s="71" t="s">
        <v>232</v>
      </c>
      <c r="D36" s="62"/>
      <c r="E36" s="117" t="s">
        <v>42</v>
      </c>
      <c r="F36" s="14"/>
      <c r="G36" s="14"/>
      <c r="H36" s="14"/>
      <c r="I36" s="16" t="s">
        <v>220</v>
      </c>
      <c r="J36" s="72"/>
      <c r="K36" s="16"/>
      <c r="L36" s="66" t="s">
        <v>103</v>
      </c>
      <c r="M36" s="57"/>
      <c r="N36" s="16" t="s">
        <v>103</v>
      </c>
      <c r="O36" s="16" t="s">
        <v>104</v>
      </c>
      <c r="P36" s="6"/>
      <c r="Q36" s="14" t="s">
        <v>35</v>
      </c>
      <c r="R36" s="16" t="s">
        <v>35</v>
      </c>
      <c r="S36" s="176" t="s">
        <v>84</v>
      </c>
      <c r="T36" s="16"/>
      <c r="U36" s="6"/>
    </row>
    <row r="37" ht="16.5" spans="1:21">
      <c r="A37" s="14" t="s">
        <v>218</v>
      </c>
      <c r="B37" s="74" t="s">
        <v>231</v>
      </c>
      <c r="C37" s="71" t="s">
        <v>233</v>
      </c>
      <c r="D37" s="62"/>
      <c r="E37" s="117" t="s">
        <v>42</v>
      </c>
      <c r="F37" s="14"/>
      <c r="G37" s="14"/>
      <c r="H37" s="14"/>
      <c r="I37" s="16" t="s">
        <v>220</v>
      </c>
      <c r="J37" s="72"/>
      <c r="K37" s="16"/>
      <c r="L37" s="66" t="s">
        <v>103</v>
      </c>
      <c r="M37" s="57"/>
      <c r="N37" s="16" t="s">
        <v>103</v>
      </c>
      <c r="O37" s="16" t="s">
        <v>104</v>
      </c>
      <c r="P37" s="6"/>
      <c r="Q37" s="14" t="s">
        <v>35</v>
      </c>
      <c r="R37" s="16" t="s">
        <v>35</v>
      </c>
      <c r="S37" s="176" t="s">
        <v>227</v>
      </c>
      <c r="T37" s="16"/>
      <c r="U37" s="16"/>
    </row>
    <row r="38" ht="16.5" spans="1:21">
      <c r="A38" s="14"/>
      <c r="B38" s="120"/>
      <c r="C38" s="72"/>
      <c r="D38" s="137"/>
      <c r="E38" s="83"/>
      <c r="F38" s="14"/>
      <c r="G38" s="14"/>
      <c r="H38" s="14"/>
      <c r="I38" s="16"/>
      <c r="J38" s="72"/>
      <c r="K38" s="72"/>
      <c r="L38" s="66"/>
      <c r="M38" s="57"/>
      <c r="N38" s="16"/>
      <c r="O38" s="72"/>
      <c r="P38" s="6"/>
      <c r="Q38" s="14"/>
      <c r="R38" s="16"/>
      <c r="S38" s="176"/>
      <c r="T38" s="16"/>
      <c r="U38" s="16"/>
    </row>
    <row r="39" ht="33" spans="1:21">
      <c r="A39" s="14" t="s">
        <v>218</v>
      </c>
      <c r="B39" s="74" t="s">
        <v>231</v>
      </c>
      <c r="C39" s="72" t="s">
        <v>234</v>
      </c>
      <c r="D39" s="140" t="s">
        <v>235</v>
      </c>
      <c r="E39" s="72" t="s">
        <v>24</v>
      </c>
      <c r="F39" s="16"/>
      <c r="G39" s="14"/>
      <c r="H39" s="14"/>
      <c r="I39" s="16"/>
      <c r="J39" s="72"/>
      <c r="K39" s="72"/>
      <c r="L39" s="18" t="s">
        <v>236</v>
      </c>
      <c r="M39" s="57"/>
      <c r="N39" s="72" t="s">
        <v>236</v>
      </c>
      <c r="O39" s="72" t="s">
        <v>237</v>
      </c>
      <c r="P39" s="62"/>
      <c r="Q39" s="14" t="s">
        <v>35</v>
      </c>
      <c r="R39" s="16" t="s">
        <v>35</v>
      </c>
      <c r="S39" s="176" t="s">
        <v>84</v>
      </c>
      <c r="T39" s="16"/>
      <c r="U39" s="16"/>
    </row>
    <row r="40" s="155" customFormat="1" ht="16.5" spans="1:22">
      <c r="A40" s="14"/>
      <c r="B40" s="118"/>
      <c r="C40" s="119"/>
      <c r="D40" s="181"/>
      <c r="E40" s="117"/>
      <c r="F40" s="14"/>
      <c r="G40" s="14"/>
      <c r="H40" s="14"/>
      <c r="I40" s="14"/>
      <c r="J40" s="72"/>
      <c r="K40" s="72"/>
      <c r="L40" s="19"/>
      <c r="M40" s="57"/>
      <c r="N40" s="72"/>
      <c r="O40" s="72"/>
      <c r="P40" s="6"/>
      <c r="Q40" s="14"/>
      <c r="R40" s="16"/>
      <c r="S40" s="176"/>
      <c r="T40" s="16"/>
      <c r="U40" s="177"/>
      <c r="V40" s="1"/>
    </row>
    <row r="41" ht="16.5" spans="1:21">
      <c r="A41" s="14"/>
      <c r="B41" s="120" t="s">
        <v>231</v>
      </c>
      <c r="C41" s="72" t="s">
        <v>238</v>
      </c>
      <c r="D41" s="6" t="s">
        <v>239</v>
      </c>
      <c r="E41" s="72" t="s">
        <v>24</v>
      </c>
      <c r="F41" s="14"/>
      <c r="G41" s="14"/>
      <c r="H41" s="14"/>
      <c r="I41" s="16" t="s">
        <v>220</v>
      </c>
      <c r="J41" s="16"/>
      <c r="K41" s="16"/>
      <c r="L41" s="18" t="s">
        <v>48</v>
      </c>
      <c r="M41" s="183"/>
      <c r="N41" s="16" t="s">
        <v>48</v>
      </c>
      <c r="O41" s="16"/>
      <c r="P41" s="6"/>
      <c r="Q41" s="14" t="s">
        <v>35</v>
      </c>
      <c r="R41" s="16" t="s">
        <v>240</v>
      </c>
      <c r="S41" s="176"/>
      <c r="T41" s="16"/>
      <c r="U41" s="16"/>
    </row>
    <row r="42" s="49" customFormat="1" ht="16.5" spans="1:21">
      <c r="A42" s="122"/>
      <c r="B42" s="123"/>
      <c r="C42" s="121"/>
      <c r="D42" s="123"/>
      <c r="E42" s="121"/>
      <c r="F42" s="122"/>
      <c r="G42" s="122"/>
      <c r="H42" s="122"/>
      <c r="I42" s="122"/>
      <c r="J42" s="122"/>
      <c r="K42" s="121"/>
      <c r="L42" s="182"/>
      <c r="M42" s="184"/>
      <c r="N42" s="121"/>
      <c r="O42" s="121"/>
      <c r="P42" s="123"/>
      <c r="Q42" s="122"/>
      <c r="R42" s="121"/>
      <c r="S42" s="121"/>
      <c r="T42" s="121"/>
      <c r="U42" s="121"/>
    </row>
    <row r="43" ht="16.5" spans="1:21">
      <c r="A43" s="14"/>
      <c r="B43" s="90"/>
      <c r="C43" s="16"/>
      <c r="D43" s="14"/>
      <c r="E43" s="14"/>
      <c r="F43" s="14"/>
      <c r="G43" s="14"/>
      <c r="H43" s="14"/>
      <c r="I43" s="14"/>
      <c r="J43" s="14"/>
      <c r="K43" s="14"/>
      <c r="L43" s="18"/>
      <c r="M43" s="183"/>
      <c r="N43" s="72"/>
      <c r="O43" s="72"/>
      <c r="P43" s="90"/>
      <c r="Q43" s="14"/>
      <c r="R43" s="14"/>
      <c r="S43" s="14"/>
      <c r="T43" s="16"/>
      <c r="U43" s="14"/>
    </row>
    <row r="44" ht="16.5" spans="1:21">
      <c r="A44" s="14"/>
      <c r="B44" s="90"/>
      <c r="C44" s="6"/>
      <c r="D44" s="6"/>
      <c r="E44" s="14"/>
      <c r="F44" s="14"/>
      <c r="G44" s="14"/>
      <c r="H44" s="14"/>
      <c r="I44" s="14"/>
      <c r="J44" s="14"/>
      <c r="K44" s="14"/>
      <c r="L44" s="18"/>
      <c r="M44" s="183"/>
      <c r="N44" s="72"/>
      <c r="O44" s="62"/>
      <c r="P44" s="90"/>
      <c r="Q44" s="14"/>
      <c r="R44" s="14"/>
      <c r="S44" s="176"/>
      <c r="T44" s="16"/>
      <c r="U44" s="14"/>
    </row>
    <row r="45" ht="16.5" spans="1:21">
      <c r="A45" s="14"/>
      <c r="B45" s="90"/>
      <c r="C45" s="14"/>
      <c r="D45" s="14"/>
      <c r="E45" s="14"/>
      <c r="F45" s="14"/>
      <c r="G45" s="14"/>
      <c r="H45" s="14"/>
      <c r="I45" s="14"/>
      <c r="J45" s="14"/>
      <c r="K45" s="14"/>
      <c r="L45" s="19"/>
      <c r="M45" s="83"/>
      <c r="N45" s="14"/>
      <c r="O45" s="14"/>
      <c r="P45" s="90"/>
      <c r="Q45" s="14"/>
      <c r="R45" s="14"/>
      <c r="S45" s="14"/>
      <c r="T45" s="14"/>
      <c r="U45" s="14"/>
    </row>
    <row r="46" ht="16.5" spans="1:21">
      <c r="A46" s="14"/>
      <c r="B46" s="90"/>
      <c r="C46" s="14"/>
      <c r="D46" s="14"/>
      <c r="E46" s="14"/>
      <c r="F46" s="14"/>
      <c r="G46" s="14"/>
      <c r="H46" s="14"/>
      <c r="I46" s="14"/>
      <c r="J46" s="14"/>
      <c r="K46" s="14"/>
      <c r="L46" s="19"/>
      <c r="M46" s="83"/>
      <c r="N46" s="14"/>
      <c r="O46" s="14"/>
      <c r="P46" s="90"/>
      <c r="Q46" s="14"/>
      <c r="R46" s="14"/>
      <c r="S46" s="14"/>
      <c r="T46" s="14"/>
      <c r="U46" s="14"/>
    </row>
    <row r="47" ht="16.5" spans="1:21">
      <c r="A47" s="14"/>
      <c r="B47" s="90"/>
      <c r="C47" s="14"/>
      <c r="D47" s="14"/>
      <c r="E47" s="14"/>
      <c r="F47" s="14"/>
      <c r="G47" s="14"/>
      <c r="H47" s="14"/>
      <c r="I47" s="14"/>
      <c r="J47" s="14"/>
      <c r="K47" s="14"/>
      <c r="L47" s="19"/>
      <c r="M47" s="83"/>
      <c r="N47" s="14"/>
      <c r="O47" s="14"/>
      <c r="P47" s="90"/>
      <c r="Q47" s="14"/>
      <c r="R47" s="14"/>
      <c r="S47" s="14"/>
      <c r="T47" s="14"/>
      <c r="U47" s="14"/>
    </row>
    <row r="48" ht="16.5" spans="1:21">
      <c r="A48" s="14"/>
      <c r="B48" s="90"/>
      <c r="C48" s="14"/>
      <c r="D48" s="14"/>
      <c r="E48" s="14"/>
      <c r="F48" s="14"/>
      <c r="G48" s="14"/>
      <c r="H48" s="14"/>
      <c r="I48" s="14"/>
      <c r="J48" s="14"/>
      <c r="K48" s="14"/>
      <c r="L48" s="19"/>
      <c r="M48" s="83"/>
      <c r="N48" s="14"/>
      <c r="O48" s="14"/>
      <c r="P48" s="90"/>
      <c r="Q48" s="14"/>
      <c r="R48" s="14"/>
      <c r="S48" s="14"/>
      <c r="T48" s="14"/>
      <c r="U48" s="14"/>
    </row>
    <row r="49" ht="16.5" spans="1:21">
      <c r="A49" s="14"/>
      <c r="B49" s="90"/>
      <c r="C49" s="14"/>
      <c r="D49" s="14"/>
      <c r="E49" s="14"/>
      <c r="F49" s="14"/>
      <c r="G49" s="14"/>
      <c r="H49" s="14"/>
      <c r="I49" s="14"/>
      <c r="J49" s="14"/>
      <c r="K49" s="14"/>
      <c r="L49" s="19"/>
      <c r="M49" s="83"/>
      <c r="N49" s="14"/>
      <c r="O49" s="14"/>
      <c r="P49" s="90"/>
      <c r="Q49" s="14"/>
      <c r="R49" s="14"/>
      <c r="S49" s="14"/>
      <c r="T49" s="14"/>
      <c r="U49" s="14"/>
    </row>
    <row r="50" ht="16.5" spans="1:21">
      <c r="A50" s="14"/>
      <c r="B50" s="90"/>
      <c r="C50" s="14"/>
      <c r="D50" s="14"/>
      <c r="E50" s="14"/>
      <c r="F50" s="14"/>
      <c r="G50" s="14"/>
      <c r="H50" s="14"/>
      <c r="I50" s="14"/>
      <c r="J50" s="14"/>
      <c r="K50" s="14"/>
      <c r="L50" s="19"/>
      <c r="M50" s="83"/>
      <c r="N50" s="14"/>
      <c r="O50" s="14"/>
      <c r="P50" s="90"/>
      <c r="Q50" s="14"/>
      <c r="R50" s="14"/>
      <c r="S50" s="14"/>
      <c r="T50" s="14"/>
      <c r="U50" s="14"/>
    </row>
    <row r="51" ht="16.5" spans="1:21">
      <c r="A51" s="14"/>
      <c r="B51" s="90"/>
      <c r="C51" s="14"/>
      <c r="D51" s="14"/>
      <c r="E51" s="14"/>
      <c r="F51" s="14"/>
      <c r="G51" s="14"/>
      <c r="H51" s="14"/>
      <c r="I51" s="14"/>
      <c r="J51" s="14"/>
      <c r="K51" s="14"/>
      <c r="L51" s="19"/>
      <c r="M51" s="83"/>
      <c r="N51" s="14"/>
      <c r="O51" s="14"/>
      <c r="P51" s="90"/>
      <c r="Q51" s="14"/>
      <c r="R51" s="14"/>
      <c r="S51" s="14"/>
      <c r="T51" s="14"/>
      <c r="U51" s="14"/>
    </row>
    <row r="52" ht="16.5" spans="1:21">
      <c r="A52" s="14"/>
      <c r="B52" s="90"/>
      <c r="C52" s="14"/>
      <c r="D52" s="14"/>
      <c r="E52" s="14"/>
      <c r="F52" s="14"/>
      <c r="G52" s="14"/>
      <c r="H52" s="14"/>
      <c r="I52" s="14"/>
      <c r="J52" s="14"/>
      <c r="K52" s="14"/>
      <c r="L52" s="19"/>
      <c r="M52" s="83"/>
      <c r="N52" s="14"/>
      <c r="O52" s="14"/>
      <c r="P52" s="90"/>
      <c r="Q52" s="14"/>
      <c r="R52" s="14"/>
      <c r="S52" s="14"/>
      <c r="T52" s="14"/>
      <c r="U52" s="14"/>
    </row>
    <row r="53" ht="16.5" spans="1:21">
      <c r="A53" s="14"/>
      <c r="B53" s="90"/>
      <c r="C53" s="14"/>
      <c r="D53" s="14"/>
      <c r="E53" s="14"/>
      <c r="F53" s="14"/>
      <c r="G53" s="14"/>
      <c r="H53" s="14"/>
      <c r="I53" s="14"/>
      <c r="J53" s="14"/>
      <c r="K53" s="14"/>
      <c r="L53" s="19"/>
      <c r="M53" s="83"/>
      <c r="N53" s="14"/>
      <c r="O53" s="14"/>
      <c r="P53" s="90"/>
      <c r="Q53" s="14"/>
      <c r="R53" s="14"/>
      <c r="S53" s="14"/>
      <c r="T53" s="14"/>
      <c r="U53" s="14"/>
    </row>
    <row r="54" ht="16.5" spans="1:21">
      <c r="A54" s="14"/>
      <c r="B54" s="90"/>
      <c r="C54" s="14"/>
      <c r="D54" s="14"/>
      <c r="E54" s="14"/>
      <c r="F54" s="14"/>
      <c r="G54" s="14"/>
      <c r="H54" s="14"/>
      <c r="I54" s="14"/>
      <c r="J54" s="14"/>
      <c r="K54" s="14"/>
      <c r="L54" s="19"/>
      <c r="M54" s="83"/>
      <c r="N54" s="14"/>
      <c r="O54" s="14"/>
      <c r="P54" s="90"/>
      <c r="Q54" s="14"/>
      <c r="R54" s="14"/>
      <c r="S54" s="14"/>
      <c r="T54" s="14"/>
      <c r="U54" s="14"/>
    </row>
    <row r="55" ht="16.5" spans="1:21">
      <c r="A55" s="14"/>
      <c r="B55" s="90"/>
      <c r="C55" s="14"/>
      <c r="D55" s="14"/>
      <c r="E55" s="14"/>
      <c r="F55" s="14"/>
      <c r="G55" s="14"/>
      <c r="H55" s="14"/>
      <c r="I55" s="14"/>
      <c r="J55" s="14"/>
      <c r="K55" s="14"/>
      <c r="L55" s="19"/>
      <c r="M55" s="83"/>
      <c r="N55" s="14"/>
      <c r="O55" s="14"/>
      <c r="P55" s="90"/>
      <c r="Q55" s="14"/>
      <c r="R55" s="14"/>
      <c r="S55" s="14"/>
      <c r="T55" s="14"/>
      <c r="U55" s="14"/>
    </row>
    <row r="56" ht="16.5" spans="1:21">
      <c r="A56" s="14"/>
      <c r="B56" s="90"/>
      <c r="C56" s="14"/>
      <c r="D56" s="14"/>
      <c r="E56" s="14"/>
      <c r="F56" s="14"/>
      <c r="G56" s="14"/>
      <c r="H56" s="14"/>
      <c r="I56" s="14"/>
      <c r="J56" s="14"/>
      <c r="K56" s="14"/>
      <c r="L56" s="19"/>
      <c r="M56" s="83"/>
      <c r="N56" s="14"/>
      <c r="O56" s="14"/>
      <c r="P56" s="90"/>
      <c r="Q56" s="14"/>
      <c r="R56" s="14"/>
      <c r="S56" s="14"/>
      <c r="T56" s="14"/>
      <c r="U56" s="14"/>
    </row>
    <row r="57" ht="16.5" spans="1:21">
      <c r="A57" s="14"/>
      <c r="B57" s="90"/>
      <c r="C57" s="14"/>
      <c r="D57" s="14"/>
      <c r="E57" s="14"/>
      <c r="F57" s="14"/>
      <c r="G57" s="14"/>
      <c r="H57" s="14"/>
      <c r="I57" s="14"/>
      <c r="J57" s="14"/>
      <c r="K57" s="14"/>
      <c r="L57" s="19"/>
      <c r="M57" s="83"/>
      <c r="N57" s="14"/>
      <c r="O57" s="14"/>
      <c r="P57" s="90"/>
      <c r="Q57" s="14"/>
      <c r="R57" s="14"/>
      <c r="S57" s="14"/>
      <c r="T57" s="14"/>
      <c r="U57" s="14"/>
    </row>
    <row r="58" ht="16.5" spans="1:21">
      <c r="A58" s="14"/>
      <c r="B58" s="90"/>
      <c r="C58" s="14"/>
      <c r="D58" s="14"/>
      <c r="E58" s="14"/>
      <c r="F58" s="14"/>
      <c r="G58" s="14"/>
      <c r="H58" s="14"/>
      <c r="I58" s="14"/>
      <c r="J58" s="14"/>
      <c r="K58" s="14"/>
      <c r="L58" s="19"/>
      <c r="M58" s="83"/>
      <c r="N58" s="14"/>
      <c r="O58" s="14"/>
      <c r="P58" s="90"/>
      <c r="Q58" s="14"/>
      <c r="R58" s="14"/>
      <c r="S58" s="14"/>
      <c r="T58" s="14"/>
      <c r="U58" s="14"/>
    </row>
    <row r="59" ht="16.5" spans="1:21">
      <c r="A59" s="14"/>
      <c r="B59" s="90"/>
      <c r="C59" s="14"/>
      <c r="D59" s="14"/>
      <c r="E59" s="14"/>
      <c r="F59" s="14"/>
      <c r="G59" s="14"/>
      <c r="H59" s="14"/>
      <c r="I59" s="14"/>
      <c r="J59" s="14"/>
      <c r="K59" s="14"/>
      <c r="L59" s="19"/>
      <c r="M59" s="83"/>
      <c r="N59" s="14"/>
      <c r="O59" s="14"/>
      <c r="P59" s="90"/>
      <c r="Q59" s="14"/>
      <c r="R59" s="14"/>
      <c r="S59" s="14"/>
      <c r="T59" s="14"/>
      <c r="U59" s="14"/>
    </row>
    <row r="60" ht="16.5" spans="1:21">
      <c r="A60" s="14"/>
      <c r="B60" s="90"/>
      <c r="C60" s="14"/>
      <c r="D60" s="14"/>
      <c r="E60" s="14"/>
      <c r="F60" s="14"/>
      <c r="G60" s="14"/>
      <c r="H60" s="14"/>
      <c r="I60" s="14"/>
      <c r="J60" s="14"/>
      <c r="K60" s="14"/>
      <c r="L60" s="19"/>
      <c r="M60" s="83"/>
      <c r="N60" s="14"/>
      <c r="O60" s="14"/>
      <c r="P60" s="90"/>
      <c r="Q60" s="14"/>
      <c r="R60" s="14"/>
      <c r="S60" s="14"/>
      <c r="T60" s="14"/>
      <c r="U60" s="14"/>
    </row>
    <row r="1048576" ht="63.35" customHeight="1"/>
  </sheetData>
  <sheetProtection formatCells="0" insertHyperlinks="0" autoFilter="0"/>
  <autoFilter xmlns:etc="http://www.wps.cn/officeDocument/2017/etCustomData" ref="A1:U60" etc:filterBottomFollowUsedRange="1">
    <extLst/>
  </autoFilter>
  <dataValidations count="8">
    <dataValidation type="list" allowBlank="1" showErrorMessage="1" errorTitle="错误提示" error="请输入下拉列表中的值" id="{5543fad6-de82-49ba-b44f-49595aefac6e}" sqref="S2:S25" errorStyle="information">
      <formula1>"预计0523迭代完成交付,预计0613迭代完成交付,预计0704迭代完成交付,预计0704迭代之后完成交付,本迭代无法启动后续重新排期"</formula1>
    </dataValidation>
    <dataValidation type="list" allowBlank="1" showErrorMessage="1" errorTitle="错误提示" error="请输入下拉列表中的值" id="{5543fad6-de82-49ba-b44f-49595aefac6e}" sqref="P2:P40" errorStyle="information">
      <formula1>"【Calypso下线项目】美国国国债簿记,【海外交易能力建设】美国国债自营交易链路,【海外交易能力建设】债券做市业务系统建设,【海外交易能力建设】香港外汇期货做市项目,【Calypso下线项目】Tarf簿记,FICC策略平台整合项目,FICC人工智能专项项目,O45迁移项目,FICC交易日历优化项目,FICCUI测试专项,境外本地化部署规划,无"</formula1>
    </dataValidation>
    <dataValidation type="list" allowBlank="1" showErrorMessage="1" errorTitle="错误提示" error="请输入下拉列表中的值" id="{5543fad6-de82-49ba-b44f-49595aefac6e}" sqref="S44 S26:S31 S33:S41" errorStyle="information">
      <formula1>"预计0425迭代完成交付,预计0523迭代完成交付,预计0613迭代完成交付,预计0613迭代之后完成交付,本迭代无法启动后续重新排期"</formula1>
    </dataValidation>
    <dataValidation type="list" allowBlank="1" showErrorMessage="1" errorTitle="错误提示" error="请输入下拉列表中的值" id="{5543fad6-de82-49ba-b44f-49595aefac6e}" sqref="A33:A56" errorStyle="information">
      <formula1>"信息技术部"</formula1>
    </dataValidation>
    <dataValidation type="list" allowBlank="1" showErrorMessage="1" errorTitle="错误提示" error="请输入下拉列表中的值" id="{5543fad6-de82-49ba-b44f-49595aefac6e}" sqref="R3:R8 R10:R31" errorStyle="information">
      <formula1>"是,否,沟通中"</formula1>
    </dataValidation>
    <dataValidation type="list" allowBlank="1" showErrorMessage="1" errorTitle="错误提示" error="请输入下拉列表中的值" id="{5543fad6-de82-49ba-b44f-49595aefac6e}" sqref="Q2:R2 Q9:R9 Q3:Q8 Q10:Q31 Q33:R44" errorStyle="information">
      <formula1>"是,否,待定"</formula1>
    </dataValidation>
    <dataValidation type="list" allowBlank="1" showErrorMessage="1" errorTitle="错误提示" error="请输入下拉列表中的值" id="{5543fad6-de82-49ba-b44f-49595aefac6e}" sqref="A2:A31" errorStyle="information">
      <formula1>"固定收益部,香港金控FICC,资金运营部,中央交易室,风险管理部,运营中心"</formula1>
    </dataValidation>
    <dataValidation type="list" allowBlank="1" showErrorMessage="1" errorTitle="错误提示" error="请输入下拉列表中的值" id="{5543fad6-de82-49ba-b44f-49595aefac6e}" sqref="S1 S32 S42:S43 S45:S1048576" errorStyle="information">
      <formula1>"预计0328迭代完成交付,预计0425迭代完成交付,预计0523迭代完成交付,预计0523迭代之后完成交付,本迭代无法启动后续重新排期"</formula1>
    </dataValidation>
  </dataValidations>
  <hyperlinks>
    <hyperlink ref="B2" r:id="rId1" display="FICCHEADS-1180" tooltip="http://jira.htzq.htsc.com.cn/browse/FICCHEADS-1180"/>
    <hyperlink ref="B3" r:id="rId2" display="FICCHEADS-1140"/>
    <hyperlink ref="B4" r:id="rId3" display="FICCHEADS-1189"/>
    <hyperlink ref="B5" r:id="rId4" display="FICCHEADS-1194"/>
    <hyperlink ref="B7" r:id="rId5" display="FICCHEADS-1110"/>
    <hyperlink ref="B6" r:id="rId6" display="FICCHEADS-1197"/>
    <hyperlink ref="B22" r:id="rId7" display="IT需求申请央20251028572539-1"/>
    <hyperlink ref="B23" r:id="rId8" display="IT需求申请资运20251224590060-9"/>
    <hyperlink ref="B24" r:id="rId8" display="IT需求申请资运20251224590060-4"/>
    <hyperlink ref="B8" r:id="rId9" display="FICCHEADS-1193"/>
    <hyperlink ref="B9" r:id="rId10" display="FICCHEADS-1175"/>
    <hyperlink ref="B10" r:id="rId11" display="FICCHEADS-1192"/>
    <hyperlink ref="B11" r:id="rId12" display="FICCHEADS-1151"/>
    <hyperlink ref="B12" r:id="rId13" display="FICCHEADS-1188"/>
    <hyperlink ref="B13" r:id="rId14" display="FICCHEADS-1184"/>
    <hyperlink ref="B14" r:id="rId15" display="FICCHEADS-983"/>
    <hyperlink ref="B15" r:id="rId16" display="FICCHEADS-832"/>
    <hyperlink ref="B16" r:id="rId17" display="FICCHEADS-885"/>
    <hyperlink ref="B17" r:id="rId18" display="FICCHEADS-955"/>
    <hyperlink ref="B18" r:id="rId19" display="FICCHEADS-1177"/>
    <hyperlink ref="B19" r:id="rId20" display="FICCHEADS-1199"/>
    <hyperlink ref="B20" r:id="rId21" display="FICCHEADS-1202"/>
    <hyperlink ref="B21" r:id="rId22" display="FICCHEADS-1200"/>
    <hyperlink ref="B25" r:id="rId7" display="IT需求申请央20251028572539-2"/>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9"/>
  <sheetViews>
    <sheetView workbookViewId="0">
      <pane xSplit="4" ySplit="2" topLeftCell="V41" activePane="bottomRight" state="frozen"/>
      <selection/>
      <selection pane="topRight"/>
      <selection pane="bottomLeft"/>
      <selection pane="bottomRight" activeCell="V41" sqref="V41:V43"/>
    </sheetView>
  </sheetViews>
  <sheetFormatPr defaultColWidth="9" defaultRowHeight="16.5"/>
  <cols>
    <col min="1" max="1" width="9" style="50"/>
    <col min="2" max="2" width="10.6833333333333" style="50" customWidth="1"/>
    <col min="3" max="3" width="17.125" style="51" customWidth="1"/>
    <col min="4" max="4" width="18.625" style="51" customWidth="1"/>
    <col min="5" max="5" width="14.9" style="51" customWidth="1"/>
    <col min="6" max="6" width="12.875" style="50" customWidth="1"/>
    <col min="7" max="7" width="10.975" style="28" customWidth="1"/>
    <col min="8" max="9" width="11.625" style="50" customWidth="1"/>
    <col min="10" max="10" width="18.1666666666667" style="50" customWidth="1"/>
    <col min="11" max="11" width="16.7083333333333" style="50" customWidth="1"/>
    <col min="12" max="12" width="22.7083333333333" style="1" customWidth="1"/>
    <col min="13" max="13" width="14.7083333333333" style="1" customWidth="1"/>
    <col min="14" max="14" width="47.0666666666667" style="1" customWidth="1"/>
    <col min="15" max="15" width="12.15" style="52" customWidth="1"/>
    <col min="16" max="16" width="22.4333333333333" style="52" customWidth="1"/>
    <col min="17" max="17" width="14.7" style="52" customWidth="1"/>
    <col min="18" max="18" width="9" style="1"/>
    <col min="19" max="19" width="9" style="53"/>
    <col min="20" max="20" width="9" style="1"/>
    <col min="21" max="21" width="9" style="50"/>
    <col min="22" max="22" width="9.71666666666667" style="1" customWidth="1"/>
    <col min="23" max="23" width="15" style="1" customWidth="1"/>
    <col min="24" max="24" width="19.2166666666667" style="1" customWidth="1"/>
    <col min="25" max="16384" width="9" style="1"/>
  </cols>
  <sheetData>
    <row r="1" spans="1:24">
      <c r="A1" s="54" t="s">
        <v>241</v>
      </c>
      <c r="B1" s="54"/>
      <c r="C1" s="54"/>
      <c r="D1" s="54"/>
      <c r="E1" s="54"/>
      <c r="F1" s="54"/>
      <c r="G1" s="76"/>
      <c r="H1" s="54"/>
      <c r="I1" s="54"/>
      <c r="J1" s="84" t="s">
        <v>242</v>
      </c>
      <c r="K1" s="85"/>
      <c r="L1" s="86"/>
      <c r="M1" s="85"/>
      <c r="N1" s="86"/>
      <c r="O1" s="86"/>
      <c r="P1" s="86"/>
      <c r="Q1" s="86"/>
      <c r="R1" s="85"/>
      <c r="S1" s="85"/>
      <c r="T1" s="85"/>
      <c r="U1" s="109"/>
      <c r="V1" s="110" t="s">
        <v>243</v>
      </c>
      <c r="W1" s="111"/>
      <c r="X1" s="112"/>
    </row>
    <row r="2" ht="30" spans="1:24">
      <c r="A2" s="55" t="s">
        <v>244</v>
      </c>
      <c r="B2" s="56" t="s">
        <v>0</v>
      </c>
      <c r="C2" s="56" t="s">
        <v>1</v>
      </c>
      <c r="D2" s="56" t="s">
        <v>245</v>
      </c>
      <c r="E2" s="56" t="s">
        <v>8</v>
      </c>
      <c r="F2" s="56" t="s">
        <v>246</v>
      </c>
      <c r="G2" s="77" t="s">
        <v>10</v>
      </c>
      <c r="H2" s="56" t="s">
        <v>247</v>
      </c>
      <c r="I2" s="56" t="s">
        <v>248</v>
      </c>
      <c r="J2" s="87" t="s">
        <v>249</v>
      </c>
      <c r="K2" s="88" t="s">
        <v>250</v>
      </c>
      <c r="L2" s="89" t="s">
        <v>251</v>
      </c>
      <c r="M2" s="97" t="s">
        <v>12</v>
      </c>
      <c r="N2" s="89" t="s">
        <v>252</v>
      </c>
      <c r="O2" s="89" t="s">
        <v>253</v>
      </c>
      <c r="P2" s="98" t="s">
        <v>254</v>
      </c>
      <c r="Q2" s="89" t="s">
        <v>255</v>
      </c>
      <c r="R2" s="101" t="s">
        <v>256</v>
      </c>
      <c r="S2" s="102" t="s">
        <v>257</v>
      </c>
      <c r="T2" s="101" t="s">
        <v>258</v>
      </c>
      <c r="U2" s="113" t="s">
        <v>259</v>
      </c>
      <c r="V2" s="114" t="s">
        <v>260</v>
      </c>
      <c r="W2" s="114" t="s">
        <v>261</v>
      </c>
      <c r="X2" s="114" t="s">
        <v>262</v>
      </c>
    </row>
    <row r="3" spans="1:24">
      <c r="A3" s="57"/>
      <c r="B3" s="16"/>
      <c r="C3" s="58"/>
      <c r="D3" s="36"/>
      <c r="E3" s="57"/>
      <c r="F3" s="57"/>
      <c r="G3" s="66"/>
      <c r="H3" s="78"/>
      <c r="I3" s="61"/>
      <c r="J3" s="90"/>
      <c r="K3" s="78"/>
      <c r="L3" s="33"/>
      <c r="M3" s="62"/>
      <c r="N3" s="6"/>
      <c r="O3" s="6"/>
      <c r="P3" s="6"/>
      <c r="Q3" s="69"/>
      <c r="R3" s="16"/>
      <c r="S3" s="34"/>
      <c r="T3" s="16"/>
      <c r="U3" s="72"/>
      <c r="V3" s="16"/>
      <c r="W3" s="6"/>
      <c r="X3" s="6"/>
    </row>
    <row r="4" spans="1:24">
      <c r="A4" s="57"/>
      <c r="B4" s="16"/>
      <c r="C4" s="58"/>
      <c r="D4" s="36"/>
      <c r="E4" s="57"/>
      <c r="F4" s="57"/>
      <c r="G4" s="66"/>
      <c r="H4" s="78"/>
      <c r="I4" s="61"/>
      <c r="J4" s="90"/>
      <c r="K4" s="78"/>
      <c r="L4" s="33"/>
      <c r="M4" s="62"/>
      <c r="N4" s="6"/>
      <c r="O4" s="6"/>
      <c r="P4" s="6"/>
      <c r="Q4" s="69"/>
      <c r="R4" s="16"/>
      <c r="S4" s="34"/>
      <c r="T4" s="16"/>
      <c r="U4" s="72"/>
      <c r="V4" s="16"/>
      <c r="W4" s="90"/>
      <c r="X4" s="6"/>
    </row>
    <row r="5" spans="1:24">
      <c r="A5" s="57"/>
      <c r="B5" s="57"/>
      <c r="C5" s="57"/>
      <c r="D5" s="57"/>
      <c r="E5" s="57"/>
      <c r="F5" s="59"/>
      <c r="G5" s="57"/>
      <c r="H5" s="57"/>
      <c r="I5" s="57"/>
      <c r="J5" s="57"/>
      <c r="K5" s="16"/>
      <c r="L5" s="33"/>
      <c r="M5" s="62"/>
      <c r="N5" s="6"/>
      <c r="O5" s="6"/>
      <c r="P5" s="6"/>
      <c r="Q5" s="69"/>
      <c r="R5" s="16"/>
      <c r="S5" s="34"/>
      <c r="T5" s="16"/>
      <c r="U5" s="115"/>
      <c r="V5" s="16"/>
      <c r="W5" s="90"/>
      <c r="X5" s="6"/>
    </row>
    <row r="6" ht="59.25" customHeight="1" spans="1:24">
      <c r="A6" s="57"/>
      <c r="B6" s="57"/>
      <c r="C6" s="57"/>
      <c r="D6" s="57"/>
      <c r="E6" s="57"/>
      <c r="F6" s="59"/>
      <c r="G6" s="57"/>
      <c r="H6" s="57"/>
      <c r="I6" s="57"/>
      <c r="J6" s="57"/>
      <c r="K6" s="72"/>
      <c r="L6" s="91"/>
      <c r="M6" s="62"/>
      <c r="N6" s="6"/>
      <c r="O6" s="36"/>
      <c r="P6" s="36"/>
      <c r="Q6" s="103"/>
      <c r="R6" s="104"/>
      <c r="S6" s="105"/>
      <c r="T6" s="34"/>
      <c r="U6" s="116"/>
      <c r="V6" s="16"/>
      <c r="W6" s="6"/>
      <c r="X6" s="90"/>
    </row>
    <row r="7" ht="56.25" customHeight="1" spans="1:24">
      <c r="A7" s="57"/>
      <c r="B7" s="57"/>
      <c r="C7" s="57"/>
      <c r="D7" s="57"/>
      <c r="E7" s="57"/>
      <c r="F7" s="59"/>
      <c r="G7" s="57"/>
      <c r="H7" s="57"/>
      <c r="I7" s="57"/>
      <c r="J7" s="83"/>
      <c r="K7" s="72"/>
      <c r="L7" s="91"/>
      <c r="M7" s="62"/>
      <c r="N7" s="6"/>
      <c r="O7" s="36"/>
      <c r="P7" s="36"/>
      <c r="Q7" s="103"/>
      <c r="R7" s="104"/>
      <c r="S7" s="105"/>
      <c r="T7" s="34"/>
      <c r="U7" s="72"/>
      <c r="V7" s="16"/>
      <c r="W7" s="6"/>
      <c r="X7" s="90"/>
    </row>
    <row r="8" ht="37.5" customHeight="1" spans="1:24">
      <c r="A8" s="59"/>
      <c r="B8" s="18"/>
      <c r="C8" s="60"/>
      <c r="D8" s="59"/>
      <c r="E8" s="59"/>
      <c r="F8" s="66"/>
      <c r="G8" s="66"/>
      <c r="H8" s="79"/>
      <c r="I8" s="79"/>
      <c r="J8" s="83"/>
      <c r="K8" s="72"/>
      <c r="L8" s="91"/>
      <c r="M8" s="62"/>
      <c r="N8" s="6"/>
      <c r="O8" s="36"/>
      <c r="P8" s="36"/>
      <c r="Q8" s="103"/>
      <c r="R8" s="104"/>
      <c r="S8" s="105"/>
      <c r="T8" s="34"/>
      <c r="U8" s="116"/>
      <c r="V8" s="16"/>
      <c r="W8" s="6"/>
      <c r="X8" s="90"/>
    </row>
    <row r="9" spans="1:24">
      <c r="A9" s="59"/>
      <c r="B9" s="18"/>
      <c r="C9" s="60"/>
      <c r="D9" s="59"/>
      <c r="E9" s="59"/>
      <c r="F9" s="66"/>
      <c r="G9" s="66"/>
      <c r="H9" s="79"/>
      <c r="I9" s="79"/>
      <c r="J9" s="14"/>
      <c r="K9" s="78"/>
      <c r="L9" s="91"/>
      <c r="M9" s="62"/>
      <c r="N9" s="6"/>
      <c r="O9" s="36"/>
      <c r="P9" s="36"/>
      <c r="Q9" s="69"/>
      <c r="R9" s="104"/>
      <c r="S9" s="105"/>
      <c r="T9" s="34"/>
      <c r="U9" s="72"/>
      <c r="V9" s="16"/>
      <c r="W9" s="6"/>
      <c r="X9" s="90"/>
    </row>
    <row r="10" spans="1:24">
      <c r="A10" s="59"/>
      <c r="B10" s="18"/>
      <c r="C10" s="60"/>
      <c r="D10" s="59"/>
      <c r="E10" s="59"/>
      <c r="F10" s="59"/>
      <c r="G10" s="66"/>
      <c r="H10" s="61"/>
      <c r="I10" s="61"/>
      <c r="J10" s="14"/>
      <c r="K10" s="78"/>
      <c r="L10" s="91"/>
      <c r="M10" s="62"/>
      <c r="N10" s="6"/>
      <c r="O10" s="36"/>
      <c r="P10" s="36"/>
      <c r="Q10" s="106"/>
      <c r="R10" s="104"/>
      <c r="S10" s="105"/>
      <c r="T10" s="34"/>
      <c r="U10" s="72"/>
      <c r="V10" s="16"/>
      <c r="W10" s="6"/>
      <c r="X10" s="90"/>
    </row>
    <row r="11" spans="1:24">
      <c r="A11" s="59"/>
      <c r="B11" s="18"/>
      <c r="C11" s="60"/>
      <c r="D11" s="59"/>
      <c r="E11" s="59"/>
      <c r="F11" s="59"/>
      <c r="G11" s="66"/>
      <c r="H11" s="61"/>
      <c r="I11" s="61"/>
      <c r="J11" s="90"/>
      <c r="K11" s="78"/>
      <c r="L11" s="33"/>
      <c r="M11" s="62"/>
      <c r="N11" s="6"/>
      <c r="O11" s="36"/>
      <c r="P11" s="6"/>
      <c r="Q11" s="106"/>
      <c r="R11" s="104"/>
      <c r="S11" s="105"/>
      <c r="T11" s="34"/>
      <c r="U11" s="72"/>
      <c r="V11" s="16"/>
      <c r="W11" s="6"/>
      <c r="X11" s="6"/>
    </row>
    <row r="12" ht="23.25" customHeight="1" spans="1:24">
      <c r="A12" s="57"/>
      <c r="B12" s="16"/>
      <c r="C12" s="58"/>
      <c r="D12" s="36"/>
      <c r="E12" s="57"/>
      <c r="F12" s="62"/>
      <c r="G12" s="19"/>
      <c r="H12" s="61"/>
      <c r="I12" s="61"/>
      <c r="J12" s="90"/>
      <c r="K12" s="6"/>
      <c r="L12" s="33"/>
      <c r="M12" s="62"/>
      <c r="N12" s="6"/>
      <c r="O12" s="36"/>
      <c r="P12" s="6"/>
      <c r="Q12" s="69"/>
      <c r="R12" s="104"/>
      <c r="S12" s="34"/>
      <c r="T12" s="34"/>
      <c r="U12" s="116"/>
      <c r="V12" s="16"/>
      <c r="W12" s="6"/>
      <c r="X12" s="6"/>
    </row>
    <row r="13" spans="1:24">
      <c r="A13" s="57"/>
      <c r="B13" s="16"/>
      <c r="C13" s="58"/>
      <c r="D13" s="36"/>
      <c r="E13" s="62"/>
      <c r="F13" s="62"/>
      <c r="G13" s="19"/>
      <c r="H13" s="61"/>
      <c r="I13" s="61"/>
      <c r="J13" s="92"/>
      <c r="K13" s="8"/>
      <c r="L13" s="33"/>
      <c r="M13" s="62"/>
      <c r="N13" s="6"/>
      <c r="O13" s="36"/>
      <c r="P13" s="6"/>
      <c r="Q13" s="69"/>
      <c r="R13" s="104"/>
      <c r="S13" s="34"/>
      <c r="T13" s="16"/>
      <c r="U13" s="116"/>
      <c r="V13" s="16"/>
      <c r="W13" s="6"/>
      <c r="X13" s="6"/>
    </row>
    <row r="14" spans="1:24">
      <c r="A14" s="61"/>
      <c r="B14" s="16"/>
      <c r="C14" s="58"/>
      <c r="D14" s="36"/>
      <c r="E14" s="57"/>
      <c r="F14" s="62"/>
      <c r="G14" s="66"/>
      <c r="H14" s="78"/>
      <c r="I14" s="61"/>
      <c r="J14" s="92"/>
      <c r="K14" s="8"/>
      <c r="L14" s="33"/>
      <c r="M14" s="57"/>
      <c r="N14" s="6"/>
      <c r="O14" s="6"/>
      <c r="P14" s="6"/>
      <c r="Q14" s="69"/>
      <c r="R14" s="16"/>
      <c r="S14" s="34"/>
      <c r="T14" s="16"/>
      <c r="U14" s="116"/>
      <c r="V14" s="16"/>
      <c r="W14" s="90"/>
      <c r="X14" s="6"/>
    </row>
    <row r="15" spans="1:24">
      <c r="A15" s="62"/>
      <c r="B15" s="62"/>
      <c r="C15" s="63"/>
      <c r="D15" s="62"/>
      <c r="E15" s="62"/>
      <c r="F15" s="62"/>
      <c r="G15" s="62"/>
      <c r="H15" s="62"/>
      <c r="I15" s="62"/>
      <c r="J15" s="92"/>
      <c r="K15" s="8"/>
      <c r="L15" s="33"/>
      <c r="M15" s="57"/>
      <c r="N15" s="71"/>
      <c r="O15" s="6"/>
      <c r="P15" s="6"/>
      <c r="Q15" s="69"/>
      <c r="R15" s="16"/>
      <c r="S15" s="34"/>
      <c r="T15" s="16"/>
      <c r="U15" s="116"/>
      <c r="V15" s="16"/>
      <c r="W15" s="90"/>
      <c r="X15" s="6"/>
    </row>
    <row r="16" spans="1:24">
      <c r="A16" s="62"/>
      <c r="B16" s="62"/>
      <c r="C16" s="63"/>
      <c r="D16" s="62"/>
      <c r="E16" s="62"/>
      <c r="F16" s="62"/>
      <c r="G16" s="62"/>
      <c r="H16" s="62"/>
      <c r="I16" s="62"/>
      <c r="J16" s="92"/>
      <c r="K16" s="8"/>
      <c r="L16" s="33"/>
      <c r="M16" s="57"/>
      <c r="N16" s="71"/>
      <c r="O16" s="6"/>
      <c r="P16" s="6"/>
      <c r="Q16" s="69"/>
      <c r="R16" s="16"/>
      <c r="S16" s="34"/>
      <c r="T16" s="16"/>
      <c r="U16" s="116"/>
      <c r="V16" s="16"/>
      <c r="W16" s="90"/>
      <c r="X16" s="6"/>
    </row>
    <row r="17" spans="1:24">
      <c r="A17" s="62"/>
      <c r="B17" s="62"/>
      <c r="C17" s="63"/>
      <c r="D17" s="62"/>
      <c r="E17" s="62"/>
      <c r="F17" s="62"/>
      <c r="G17" s="62"/>
      <c r="H17" s="62"/>
      <c r="I17" s="62"/>
      <c r="J17" s="90"/>
      <c r="K17" s="6"/>
      <c r="L17" s="33"/>
      <c r="M17" s="57"/>
      <c r="N17" s="71"/>
      <c r="O17" s="6"/>
      <c r="P17" s="6"/>
      <c r="Q17" s="69"/>
      <c r="R17" s="16"/>
      <c r="S17" s="34"/>
      <c r="T17" s="16"/>
      <c r="U17" s="72"/>
      <c r="V17" s="16"/>
      <c r="W17" s="6"/>
      <c r="X17" s="6"/>
    </row>
    <row r="18" spans="1:24">
      <c r="A18" s="62"/>
      <c r="B18" s="64"/>
      <c r="C18" s="65"/>
      <c r="D18" s="33"/>
      <c r="E18" s="62"/>
      <c r="F18" s="66"/>
      <c r="G18" s="66"/>
      <c r="H18" s="80"/>
      <c r="I18" s="80"/>
      <c r="J18" s="90"/>
      <c r="K18" s="6"/>
      <c r="L18" s="33"/>
      <c r="M18" s="57"/>
      <c r="N18" s="71"/>
      <c r="O18" s="6"/>
      <c r="P18" s="6"/>
      <c r="Q18" s="69"/>
      <c r="R18" s="16"/>
      <c r="S18" s="34"/>
      <c r="T18" s="16"/>
      <c r="U18" s="116"/>
      <c r="V18" s="16"/>
      <c r="W18" s="6"/>
      <c r="X18" s="6"/>
    </row>
    <row r="19" spans="1:24">
      <c r="A19" s="62"/>
      <c r="B19" s="62"/>
      <c r="C19" s="65"/>
      <c r="D19" s="62"/>
      <c r="E19" s="62"/>
      <c r="F19" s="62"/>
      <c r="G19" s="62"/>
      <c r="H19" s="62"/>
      <c r="I19" s="62"/>
      <c r="J19" s="90"/>
      <c r="K19" s="16"/>
      <c r="L19" s="33"/>
      <c r="M19" s="57"/>
      <c r="N19" s="71"/>
      <c r="O19" s="6"/>
      <c r="P19" s="6"/>
      <c r="Q19" s="106"/>
      <c r="R19" s="16"/>
      <c r="S19" s="34"/>
      <c r="T19" s="16"/>
      <c r="U19" s="72"/>
      <c r="V19" s="16"/>
      <c r="W19" s="90"/>
      <c r="X19" s="6"/>
    </row>
    <row r="20" spans="1:24">
      <c r="A20" s="62"/>
      <c r="B20" s="62"/>
      <c r="C20" s="65"/>
      <c r="D20" s="62"/>
      <c r="E20" s="62"/>
      <c r="F20" s="62"/>
      <c r="G20" s="62"/>
      <c r="H20" s="62"/>
      <c r="I20" s="62"/>
      <c r="J20" s="83"/>
      <c r="K20" s="72"/>
      <c r="L20" s="93"/>
      <c r="M20" s="57"/>
      <c r="N20" s="71"/>
      <c r="O20" s="6"/>
      <c r="P20" s="6"/>
      <c r="Q20" s="106"/>
      <c r="R20" s="16"/>
      <c r="S20" s="34"/>
      <c r="T20" s="16"/>
      <c r="U20" s="72"/>
      <c r="V20" s="16"/>
      <c r="W20" s="90"/>
      <c r="X20" s="6"/>
    </row>
    <row r="21" spans="1:24">
      <c r="A21" s="62"/>
      <c r="B21" s="64"/>
      <c r="C21" s="65"/>
      <c r="D21" s="33"/>
      <c r="E21" s="62"/>
      <c r="F21" s="66"/>
      <c r="G21" s="66"/>
      <c r="H21" s="80"/>
      <c r="I21" s="80"/>
      <c r="J21" s="83"/>
      <c r="K21" s="78"/>
      <c r="L21" s="93"/>
      <c r="M21" s="57"/>
      <c r="N21" s="71"/>
      <c r="O21" s="6"/>
      <c r="P21" s="6"/>
      <c r="Q21" s="106"/>
      <c r="R21" s="16"/>
      <c r="S21" s="105"/>
      <c r="T21" s="34"/>
      <c r="U21" s="72"/>
      <c r="V21" s="16"/>
      <c r="W21" s="90"/>
      <c r="X21" s="6"/>
    </row>
    <row r="22" spans="1:24">
      <c r="A22" s="62"/>
      <c r="B22" s="64"/>
      <c r="C22" s="65"/>
      <c r="D22" s="33"/>
      <c r="E22" s="62"/>
      <c r="F22" s="66"/>
      <c r="G22" s="66"/>
      <c r="H22" s="16"/>
      <c r="I22" s="16"/>
      <c r="J22" s="90"/>
      <c r="K22" s="80"/>
      <c r="L22" s="33"/>
      <c r="M22" s="57"/>
      <c r="N22" s="71"/>
      <c r="O22" s="6"/>
      <c r="P22" s="6"/>
      <c r="Q22" s="69"/>
      <c r="R22" s="16"/>
      <c r="S22" s="34"/>
      <c r="T22" s="16"/>
      <c r="U22" s="116"/>
      <c r="V22" s="16"/>
      <c r="W22" s="90"/>
      <c r="X22" s="6"/>
    </row>
    <row r="23" spans="1:24">
      <c r="A23" s="66"/>
      <c r="B23" s="67"/>
      <c r="C23" s="68"/>
      <c r="D23" s="66"/>
      <c r="E23" s="66"/>
      <c r="F23" s="66"/>
      <c r="G23" s="66"/>
      <c r="H23" s="81"/>
      <c r="I23" s="18"/>
      <c r="J23" s="92"/>
      <c r="K23" s="72"/>
      <c r="L23" s="33"/>
      <c r="M23" s="99"/>
      <c r="N23" s="71"/>
      <c r="O23" s="6"/>
      <c r="P23" s="6"/>
      <c r="Q23" s="69"/>
      <c r="R23" s="16"/>
      <c r="S23" s="34"/>
      <c r="T23" s="34"/>
      <c r="U23" s="115"/>
      <c r="V23" s="16"/>
      <c r="W23" s="6"/>
      <c r="X23" s="6"/>
    </row>
    <row r="24" spans="1:24">
      <c r="A24" s="66"/>
      <c r="B24" s="67"/>
      <c r="C24" s="68"/>
      <c r="D24" s="66"/>
      <c r="E24" s="66"/>
      <c r="F24" s="66"/>
      <c r="G24" s="66"/>
      <c r="H24" s="81"/>
      <c r="I24" s="18"/>
      <c r="J24" s="90"/>
      <c r="K24" s="72"/>
      <c r="L24" s="33"/>
      <c r="M24" s="99"/>
      <c r="N24" s="71"/>
      <c r="O24" s="6"/>
      <c r="P24" s="6"/>
      <c r="Q24" s="69"/>
      <c r="R24" s="16"/>
      <c r="S24" s="34"/>
      <c r="T24" s="34"/>
      <c r="U24" s="115"/>
      <c r="V24" s="6"/>
      <c r="W24" s="6"/>
      <c r="X24" s="6"/>
    </row>
    <row r="25" spans="1:24">
      <c r="A25" s="33"/>
      <c r="B25" s="64"/>
      <c r="C25" s="65"/>
      <c r="D25" s="33"/>
      <c r="E25" s="33"/>
      <c r="F25" s="33"/>
      <c r="G25" s="66"/>
      <c r="H25" s="80"/>
      <c r="I25" s="61"/>
      <c r="J25" s="90"/>
      <c r="K25" s="16"/>
      <c r="L25" s="33"/>
      <c r="M25" s="100"/>
      <c r="N25" s="71"/>
      <c r="O25" s="6"/>
      <c r="P25" s="6"/>
      <c r="Q25" s="69"/>
      <c r="R25" s="16"/>
      <c r="S25" s="34"/>
      <c r="T25" s="16"/>
      <c r="U25" s="72"/>
      <c r="V25" s="6"/>
      <c r="W25" s="6"/>
      <c r="X25" s="6"/>
    </row>
    <row r="26" spans="1:24">
      <c r="A26" s="57"/>
      <c r="B26" s="64"/>
      <c r="C26" s="69"/>
      <c r="D26" s="16"/>
      <c r="E26" s="82"/>
      <c r="F26" s="57"/>
      <c r="G26" s="66"/>
      <c r="H26" s="16"/>
      <c r="I26" s="16"/>
      <c r="J26" s="90"/>
      <c r="K26" s="80"/>
      <c r="L26" s="33"/>
      <c r="M26" s="62"/>
      <c r="N26" s="71"/>
      <c r="O26" s="6"/>
      <c r="P26" s="6"/>
      <c r="Q26" s="107"/>
      <c r="R26" s="16"/>
      <c r="S26" s="34"/>
      <c r="T26" s="34"/>
      <c r="U26" s="115"/>
      <c r="V26" s="16"/>
      <c r="W26" s="6"/>
      <c r="X26" s="6"/>
    </row>
    <row r="27" s="48" customFormat="1" spans="1:24">
      <c r="A27" s="57"/>
      <c r="B27" s="14"/>
      <c r="C27" s="69"/>
      <c r="D27" s="70"/>
      <c r="E27" s="82"/>
      <c r="F27" s="57"/>
      <c r="G27" s="66"/>
      <c r="H27" s="16"/>
      <c r="I27" s="16"/>
      <c r="J27" s="94"/>
      <c r="K27" s="80"/>
      <c r="L27" s="36"/>
      <c r="M27" s="62"/>
      <c r="N27" s="71"/>
      <c r="O27" s="43"/>
      <c r="P27" s="6"/>
      <c r="Q27" s="107"/>
      <c r="R27" s="80"/>
      <c r="S27" s="34"/>
      <c r="T27" s="34"/>
      <c r="U27" s="115"/>
      <c r="V27" s="80"/>
      <c r="W27" s="71"/>
      <c r="X27" s="71"/>
    </row>
    <row r="28" customFormat="1" spans="1:24">
      <c r="A28" s="57"/>
      <c r="B28" s="14"/>
      <c r="C28" s="69"/>
      <c r="D28" s="70"/>
      <c r="E28" s="82"/>
      <c r="F28" s="57"/>
      <c r="G28" s="66"/>
      <c r="H28" s="62"/>
      <c r="I28" s="16"/>
      <c r="J28" s="62"/>
      <c r="K28" s="16"/>
      <c r="L28" s="33"/>
      <c r="M28" s="62"/>
      <c r="N28" s="71"/>
      <c r="O28" s="6"/>
      <c r="P28" s="6"/>
      <c r="Q28" s="108"/>
      <c r="R28" s="14"/>
      <c r="S28" s="34"/>
      <c r="T28" s="16"/>
      <c r="U28" s="116"/>
      <c r="V28" s="16"/>
      <c r="W28" s="90"/>
      <c r="X28" s="6"/>
    </row>
    <row r="29" customFormat="1" spans="1:24">
      <c r="A29" s="57"/>
      <c r="B29" s="16"/>
      <c r="C29" s="69"/>
      <c r="D29" s="71"/>
      <c r="E29" s="82"/>
      <c r="F29" s="57"/>
      <c r="G29" s="59"/>
      <c r="H29" s="73"/>
      <c r="I29" s="95"/>
      <c r="J29" s="73"/>
      <c r="K29" s="78"/>
      <c r="L29" s="33"/>
      <c r="M29" s="62"/>
      <c r="N29" s="71"/>
      <c r="O29" s="6"/>
      <c r="P29" s="6"/>
      <c r="Q29" s="108"/>
      <c r="R29" s="14"/>
      <c r="S29" s="105"/>
      <c r="T29" s="34"/>
      <c r="U29" s="72"/>
      <c r="V29" s="16"/>
      <c r="W29" s="90"/>
      <c r="X29" s="6"/>
    </row>
    <row r="30" spans="1:24">
      <c r="A30" s="62"/>
      <c r="B30" s="14"/>
      <c r="C30" s="33"/>
      <c r="D30" s="72"/>
      <c r="E30" s="14"/>
      <c r="F30" s="83"/>
      <c r="G30" s="62"/>
      <c r="H30" s="62"/>
      <c r="I30" s="62"/>
      <c r="J30" s="96"/>
      <c r="K30" s="72"/>
      <c r="L30" s="33"/>
      <c r="M30" s="83"/>
      <c r="N30" s="6"/>
      <c r="O30" s="6"/>
      <c r="P30" s="6"/>
      <c r="Q30" s="69"/>
      <c r="R30" s="14"/>
      <c r="S30" s="34"/>
      <c r="T30" s="16"/>
      <c r="U30" s="116"/>
      <c r="V30" s="16"/>
      <c r="W30" s="6"/>
      <c r="X30" s="6"/>
    </row>
    <row r="31" spans="1:24">
      <c r="A31" s="73"/>
      <c r="B31" s="73"/>
      <c r="C31" s="74"/>
      <c r="D31" s="73"/>
      <c r="E31" s="83"/>
      <c r="F31" s="66"/>
      <c r="G31" s="73"/>
      <c r="H31" s="73"/>
      <c r="I31" s="73"/>
      <c r="J31" s="62"/>
      <c r="K31" s="16"/>
      <c r="L31" s="33"/>
      <c r="M31" s="33"/>
      <c r="N31" s="6"/>
      <c r="O31" s="6"/>
      <c r="P31" s="6"/>
      <c r="Q31" s="69"/>
      <c r="R31" s="14"/>
      <c r="S31" s="34"/>
      <c r="T31" s="16"/>
      <c r="U31" s="72"/>
      <c r="V31" s="16"/>
      <c r="W31" s="90"/>
      <c r="X31" s="6"/>
    </row>
    <row r="32" spans="1:24">
      <c r="A32" s="75"/>
      <c r="B32" s="75"/>
      <c r="C32" s="33"/>
      <c r="D32" s="75"/>
      <c r="E32" s="83"/>
      <c r="F32" s="72"/>
      <c r="G32" s="75"/>
      <c r="H32" s="75"/>
      <c r="I32" s="75"/>
      <c r="J32" s="73"/>
      <c r="K32" s="72"/>
      <c r="L32" s="33"/>
      <c r="M32" s="83"/>
      <c r="N32" s="6"/>
      <c r="O32" s="6"/>
      <c r="P32" s="6"/>
      <c r="Q32" s="69"/>
      <c r="R32" s="104"/>
      <c r="S32" s="34"/>
      <c r="T32" s="16"/>
      <c r="U32" s="72"/>
      <c r="V32" s="16"/>
      <c r="W32" s="90"/>
      <c r="X32" s="6"/>
    </row>
    <row r="33" spans="1:24">
      <c r="A33" s="83"/>
      <c r="B33" s="14"/>
      <c r="C33" s="33"/>
      <c r="D33" s="117"/>
      <c r="E33" s="16"/>
      <c r="F33" s="72"/>
      <c r="G33" s="18"/>
      <c r="H33" s="72"/>
      <c r="I33" s="72"/>
      <c r="J33" s="96"/>
      <c r="K33" s="72"/>
      <c r="L33" s="33"/>
      <c r="M33" s="83"/>
      <c r="N33" s="16"/>
      <c r="O33" s="6"/>
      <c r="P33" s="6"/>
      <c r="Q33" s="69"/>
      <c r="R33" s="104"/>
      <c r="S33" s="34"/>
      <c r="T33" s="16"/>
      <c r="U33" s="116"/>
      <c r="V33" s="16"/>
      <c r="W33" s="90"/>
      <c r="X33" s="6"/>
    </row>
    <row r="34" spans="1:24">
      <c r="A34" s="117"/>
      <c r="B34" s="14"/>
      <c r="C34" s="118"/>
      <c r="D34" s="119"/>
      <c r="E34" s="14"/>
      <c r="F34" s="72"/>
      <c r="G34" s="19"/>
      <c r="H34" s="72"/>
      <c r="I34" s="72"/>
      <c r="J34" s="130"/>
      <c r="K34" s="117"/>
      <c r="L34" s="131"/>
      <c r="M34" s="83"/>
      <c r="N34" s="16"/>
      <c r="O34" s="6"/>
      <c r="P34" s="6"/>
      <c r="Q34" s="141"/>
      <c r="R34" s="142"/>
      <c r="S34" s="105"/>
      <c r="T34" s="34"/>
      <c r="U34" s="72"/>
      <c r="V34" s="16"/>
      <c r="W34" s="6"/>
      <c r="X34" s="90"/>
    </row>
    <row r="35" spans="1:24">
      <c r="A35" s="16"/>
      <c r="B35" s="14"/>
      <c r="C35" s="120"/>
      <c r="D35" s="72"/>
      <c r="E35" s="14"/>
      <c r="F35" s="66"/>
      <c r="G35" s="18"/>
      <c r="H35" s="16"/>
      <c r="I35" s="16"/>
      <c r="J35" s="96"/>
      <c r="K35" s="72"/>
      <c r="L35" s="132"/>
      <c r="M35" s="83"/>
      <c r="N35" s="16"/>
      <c r="O35" s="6"/>
      <c r="P35" s="6"/>
      <c r="Q35" s="106"/>
      <c r="R35" s="14"/>
      <c r="S35" s="34"/>
      <c r="T35" s="16"/>
      <c r="U35" s="72"/>
      <c r="V35" s="16"/>
      <c r="W35" s="6"/>
      <c r="X35" s="90"/>
    </row>
    <row r="36" s="49" customFormat="1" spans="1:24">
      <c r="A36" s="121"/>
      <c r="B36" s="122"/>
      <c r="C36" s="123"/>
      <c r="D36" s="121"/>
      <c r="E36" s="122"/>
      <c r="F36" s="121"/>
      <c r="G36" s="128"/>
      <c r="H36" s="121"/>
      <c r="I36" s="121"/>
      <c r="J36" s="133"/>
      <c r="K36" s="121"/>
      <c r="L36" s="134"/>
      <c r="M36" s="135"/>
      <c r="N36" s="123"/>
      <c r="O36" s="123"/>
      <c r="P36" s="123"/>
      <c r="Q36" s="143"/>
      <c r="R36" s="122"/>
      <c r="S36" s="144"/>
      <c r="T36" s="121"/>
      <c r="U36" s="148"/>
      <c r="V36" s="121"/>
      <c r="W36" s="149"/>
      <c r="X36" s="6"/>
    </row>
    <row r="37" spans="1:24">
      <c r="A37" s="16"/>
      <c r="B37" s="14"/>
      <c r="C37" s="6"/>
      <c r="D37" s="16"/>
      <c r="E37" s="14"/>
      <c r="F37" s="14"/>
      <c r="G37" s="72"/>
      <c r="H37" s="72"/>
      <c r="I37" s="72"/>
      <c r="J37" s="96"/>
      <c r="K37" s="72"/>
      <c r="L37" s="33"/>
      <c r="M37" s="83"/>
      <c r="N37" s="6"/>
      <c r="O37" s="6"/>
      <c r="P37" s="6"/>
      <c r="Q37" s="69"/>
      <c r="R37" s="14"/>
      <c r="S37" s="34"/>
      <c r="T37" s="16"/>
      <c r="U37" s="72"/>
      <c r="V37" s="16"/>
      <c r="W37" s="6"/>
      <c r="X37" s="90"/>
    </row>
    <row r="38" spans="1:24">
      <c r="A38" s="16"/>
      <c r="B38" s="14"/>
      <c r="C38" s="6"/>
      <c r="D38" s="6"/>
      <c r="E38" s="14"/>
      <c r="F38" s="14"/>
      <c r="G38" s="72"/>
      <c r="H38" s="72"/>
      <c r="I38" s="62"/>
      <c r="J38" s="96"/>
      <c r="K38" s="72"/>
      <c r="L38" s="33"/>
      <c r="M38" s="83"/>
      <c r="N38" s="6"/>
      <c r="O38" s="6"/>
      <c r="P38" s="6"/>
      <c r="Q38" s="69"/>
      <c r="R38" s="14"/>
      <c r="S38" s="34"/>
      <c r="T38" s="16"/>
      <c r="U38" s="72"/>
      <c r="V38" s="16"/>
      <c r="W38" s="6"/>
      <c r="X38" s="6"/>
    </row>
    <row r="39" spans="1:24">
      <c r="A39" s="73"/>
      <c r="B39" s="73"/>
      <c r="C39" s="73"/>
      <c r="D39" s="73"/>
      <c r="E39" s="73"/>
      <c r="F39" s="73"/>
      <c r="G39" s="73"/>
      <c r="H39" s="73"/>
      <c r="I39" s="117"/>
      <c r="J39" s="8"/>
      <c r="K39" s="16"/>
      <c r="L39" s="132"/>
      <c r="M39" s="138"/>
      <c r="N39" s="6"/>
      <c r="O39" s="6"/>
      <c r="P39" s="6"/>
      <c r="Q39" s="69"/>
      <c r="R39" s="14"/>
      <c r="S39" s="34"/>
      <c r="T39" s="16"/>
      <c r="U39" s="116"/>
      <c r="V39" s="16"/>
      <c r="W39" s="16"/>
      <c r="X39" s="14"/>
    </row>
    <row r="40" spans="1:24">
      <c r="A40" s="75"/>
      <c r="B40" s="75"/>
      <c r="C40" s="75"/>
      <c r="D40" s="75"/>
      <c r="E40" s="75"/>
      <c r="F40" s="75"/>
      <c r="G40" s="75"/>
      <c r="H40" s="75"/>
      <c r="I40" s="127"/>
      <c r="J40" s="83"/>
      <c r="K40" s="72"/>
      <c r="L40" s="91"/>
      <c r="M40" s="66"/>
      <c r="N40" s="6"/>
      <c r="O40" s="36"/>
      <c r="P40" s="36"/>
      <c r="Q40" s="103"/>
      <c r="R40" s="73"/>
      <c r="S40" s="34"/>
      <c r="T40" s="16"/>
      <c r="U40" s="116"/>
      <c r="V40" s="137"/>
      <c r="W40" s="150"/>
      <c r="X40" s="150"/>
    </row>
    <row r="41" spans="1:24">
      <c r="A41" s="62"/>
      <c r="B41" s="16"/>
      <c r="C41" s="33"/>
      <c r="D41" s="72"/>
      <c r="E41" s="33"/>
      <c r="F41" s="62"/>
      <c r="G41" s="66"/>
      <c r="H41" s="62"/>
      <c r="I41" s="62"/>
      <c r="J41" s="83"/>
      <c r="K41" s="62"/>
      <c r="L41" s="91"/>
      <c r="M41" s="66"/>
      <c r="N41" s="6"/>
      <c r="O41" s="36"/>
      <c r="P41" s="36"/>
      <c r="Q41" s="103"/>
      <c r="R41" s="73"/>
      <c r="S41" s="34"/>
      <c r="T41" s="16"/>
      <c r="U41" s="116"/>
      <c r="V41" s="137"/>
      <c r="W41" s="150"/>
      <c r="X41" s="150"/>
    </row>
    <row r="42" ht="40" customHeight="1" spans="1:24">
      <c r="A42" s="124"/>
      <c r="B42" s="119"/>
      <c r="C42" s="119"/>
      <c r="D42" s="119"/>
      <c r="E42" s="119"/>
      <c r="F42" s="119"/>
      <c r="G42" s="119"/>
      <c r="H42" s="119"/>
      <c r="I42" s="119"/>
      <c r="J42" s="14"/>
      <c r="K42" s="62"/>
      <c r="L42" s="119"/>
      <c r="M42" s="119"/>
      <c r="N42" s="119"/>
      <c r="O42" s="119"/>
      <c r="P42" s="119"/>
      <c r="Q42" s="119"/>
      <c r="R42" s="119"/>
      <c r="S42" s="119"/>
      <c r="T42" s="119"/>
      <c r="U42" s="119"/>
      <c r="V42" s="119"/>
      <c r="W42" s="119"/>
      <c r="X42" s="119"/>
    </row>
    <row r="43" ht="40" customHeight="1" spans="1:24">
      <c r="A43" s="125"/>
      <c r="B43" s="126"/>
      <c r="C43" s="126"/>
      <c r="D43" s="126"/>
      <c r="E43" s="126"/>
      <c r="F43" s="126"/>
      <c r="G43" s="126"/>
      <c r="H43" s="126"/>
      <c r="I43" s="126"/>
      <c r="J43" s="14"/>
      <c r="K43" s="62"/>
      <c r="L43" s="126"/>
      <c r="M43" s="126"/>
      <c r="N43" s="126"/>
      <c r="O43" s="126"/>
      <c r="P43" s="126"/>
      <c r="Q43" s="126"/>
      <c r="R43" s="126"/>
      <c r="S43" s="126"/>
      <c r="T43" s="126"/>
      <c r="U43" s="126"/>
      <c r="V43" s="126"/>
      <c r="W43" s="126"/>
      <c r="X43" s="126"/>
    </row>
    <row r="44" spans="1:24">
      <c r="A44" s="62"/>
      <c r="B44" s="16"/>
      <c r="C44" s="33"/>
      <c r="D44" s="72"/>
      <c r="E44" s="14"/>
      <c r="F44" s="62"/>
      <c r="G44" s="18"/>
      <c r="H44" s="62"/>
      <c r="I44" s="62"/>
      <c r="J44" s="14"/>
      <c r="K44" s="62"/>
      <c r="L44" s="34"/>
      <c r="M44" s="66"/>
      <c r="N44" s="119"/>
      <c r="O44" s="6"/>
      <c r="P44" s="6"/>
      <c r="Q44" s="106"/>
      <c r="R44" s="136"/>
      <c r="S44" s="34"/>
      <c r="T44" s="16"/>
      <c r="U44" s="116"/>
      <c r="V44" s="137"/>
      <c r="W44" s="136"/>
      <c r="X44" s="137"/>
    </row>
    <row r="45" spans="1:24">
      <c r="A45" s="62"/>
      <c r="B45" s="16"/>
      <c r="C45" s="72"/>
      <c r="D45" s="72"/>
      <c r="E45" s="83"/>
      <c r="F45" s="62"/>
      <c r="G45" s="18"/>
      <c r="H45" s="62"/>
      <c r="I45" s="62"/>
      <c r="J45" s="14"/>
      <c r="K45" s="62"/>
      <c r="L45" s="34"/>
      <c r="M45" s="138"/>
      <c r="N45" s="36"/>
      <c r="O45" s="6"/>
      <c r="P45" s="6"/>
      <c r="Q45" s="106"/>
      <c r="R45" s="136"/>
      <c r="S45" s="34"/>
      <c r="T45" s="16"/>
      <c r="U45" s="116"/>
      <c r="V45" s="137"/>
      <c r="W45" s="137"/>
      <c r="X45" s="140"/>
    </row>
    <row r="46" spans="1:24">
      <c r="A46" s="72"/>
      <c r="B46" s="72"/>
      <c r="C46" s="72"/>
      <c r="D46" s="72"/>
      <c r="E46" s="83"/>
      <c r="F46" s="83"/>
      <c r="G46" s="18"/>
      <c r="H46" s="72"/>
      <c r="I46" s="83"/>
      <c r="J46" s="83"/>
      <c r="K46" s="72"/>
      <c r="L46" s="93"/>
      <c r="M46" s="138"/>
      <c r="N46" s="36"/>
      <c r="O46" s="6"/>
      <c r="P46" s="6"/>
      <c r="Q46" s="106"/>
      <c r="R46" s="136"/>
      <c r="S46" s="34"/>
      <c r="T46" s="34"/>
      <c r="U46" s="116"/>
      <c r="V46" s="137"/>
      <c r="W46" s="137"/>
      <c r="X46" s="140"/>
    </row>
    <row r="47" spans="1:24">
      <c r="A47" s="117"/>
      <c r="B47" s="117"/>
      <c r="C47" s="117"/>
      <c r="D47" s="117"/>
      <c r="E47" s="117"/>
      <c r="F47" s="119"/>
      <c r="G47" s="117"/>
      <c r="H47" s="117"/>
      <c r="I47" s="117"/>
      <c r="J47" s="83"/>
      <c r="K47" s="72"/>
      <c r="L47" s="93"/>
      <c r="M47" s="138"/>
      <c r="N47" s="36"/>
      <c r="O47" s="6"/>
      <c r="P47" s="6"/>
      <c r="Q47" s="106"/>
      <c r="R47" s="136"/>
      <c r="S47" s="34"/>
      <c r="T47" s="34"/>
      <c r="U47" s="116"/>
      <c r="V47" s="137"/>
      <c r="W47" s="137"/>
      <c r="X47" s="140"/>
    </row>
    <row r="48" spans="1:24">
      <c r="A48" s="127"/>
      <c r="B48" s="127"/>
      <c r="C48" s="127"/>
      <c r="D48" s="127"/>
      <c r="E48" s="127"/>
      <c r="F48" s="126"/>
      <c r="G48" s="127"/>
      <c r="H48" s="127"/>
      <c r="I48" s="127"/>
      <c r="J48" s="135"/>
      <c r="K48" s="72"/>
      <c r="L48" s="93"/>
      <c r="M48" s="139"/>
      <c r="N48" s="36"/>
      <c r="O48" s="6"/>
      <c r="P48" s="6"/>
      <c r="Q48" s="106"/>
      <c r="R48" s="122"/>
      <c r="S48" s="34"/>
      <c r="T48" s="34"/>
      <c r="U48" s="116"/>
      <c r="V48" s="121"/>
      <c r="W48" s="122"/>
      <c r="X48" s="122"/>
    </row>
    <row r="49" customFormat="1" spans="1:24">
      <c r="A49" s="83"/>
      <c r="B49" s="14"/>
      <c r="C49" s="118"/>
      <c r="D49" s="72"/>
      <c r="E49" s="16"/>
      <c r="F49" s="72"/>
      <c r="G49" s="66"/>
      <c r="H49" s="72"/>
      <c r="I49" s="16"/>
      <c r="J49" s="96"/>
      <c r="K49" s="72"/>
      <c r="L49" s="93"/>
      <c r="M49" s="33"/>
      <c r="N49" s="6"/>
      <c r="O49" s="16"/>
      <c r="P49" s="6"/>
      <c r="Q49" s="145"/>
      <c r="R49" s="14"/>
      <c r="S49" s="34"/>
      <c r="T49" s="16"/>
      <c r="U49" s="72"/>
      <c r="V49" s="72"/>
      <c r="W49" s="16"/>
      <c r="X49" s="14"/>
    </row>
    <row r="50" customFormat="1" spans="1:24">
      <c r="A50" s="83"/>
      <c r="B50" s="16"/>
      <c r="C50" s="14"/>
      <c r="D50" s="72"/>
      <c r="E50" s="16"/>
      <c r="F50" s="72"/>
      <c r="G50" s="66"/>
      <c r="H50" s="16"/>
      <c r="I50" s="16"/>
      <c r="J50" s="96"/>
      <c r="K50" s="72"/>
      <c r="L50" s="91"/>
      <c r="M50" s="33"/>
      <c r="N50" s="6"/>
      <c r="O50" s="16"/>
      <c r="P50" s="6"/>
      <c r="Q50" s="141"/>
      <c r="R50" s="14"/>
      <c r="S50" s="16"/>
      <c r="T50" s="34"/>
      <c r="U50" s="72"/>
      <c r="V50" s="72"/>
      <c r="W50" s="16"/>
      <c r="X50" s="14"/>
    </row>
    <row r="51" spans="1:24">
      <c r="A51" s="66"/>
      <c r="B51" s="14"/>
      <c r="C51" s="118"/>
      <c r="D51" s="72"/>
      <c r="E51" s="14"/>
      <c r="F51" s="72"/>
      <c r="G51" s="19"/>
      <c r="H51" s="72"/>
      <c r="I51" s="72"/>
      <c r="J51" s="96"/>
      <c r="K51" s="16"/>
      <c r="L51" s="91"/>
      <c r="M51" s="33"/>
      <c r="N51" s="6"/>
      <c r="O51" s="16"/>
      <c r="P51" s="6"/>
      <c r="Q51" s="69"/>
      <c r="R51" s="14"/>
      <c r="S51" s="34"/>
      <c r="T51" s="34"/>
      <c r="U51" s="151"/>
      <c r="V51" s="16"/>
      <c r="W51" s="16"/>
      <c r="X51" s="14"/>
    </row>
    <row r="52" spans="1:24">
      <c r="A52" s="66"/>
      <c r="B52" s="16"/>
      <c r="C52" s="118"/>
      <c r="D52" s="72"/>
      <c r="E52" s="14"/>
      <c r="F52" s="72"/>
      <c r="G52" s="19"/>
      <c r="H52" s="72"/>
      <c r="I52" s="72"/>
      <c r="J52" s="96"/>
      <c r="K52" s="16"/>
      <c r="L52" s="91"/>
      <c r="M52" s="33"/>
      <c r="N52" s="6"/>
      <c r="O52" s="16"/>
      <c r="P52" s="6"/>
      <c r="Q52" s="69"/>
      <c r="R52" s="14"/>
      <c r="S52" s="34"/>
      <c r="T52" s="34"/>
      <c r="U52" s="72"/>
      <c r="V52" s="16"/>
      <c r="W52" s="16"/>
      <c r="X52" s="14"/>
    </row>
    <row r="53" spans="1:24">
      <c r="A53" s="62"/>
      <c r="B53" s="62"/>
      <c r="C53" s="62"/>
      <c r="D53" s="62"/>
      <c r="E53" s="62"/>
      <c r="F53" s="62"/>
      <c r="G53" s="62"/>
      <c r="H53" s="62"/>
      <c r="I53" s="62"/>
      <c r="J53" s="8"/>
      <c r="K53" s="16"/>
      <c r="L53" s="132"/>
      <c r="M53" s="138"/>
      <c r="N53" s="6"/>
      <c r="O53" s="6"/>
      <c r="P53" s="6"/>
      <c r="Q53" s="69"/>
      <c r="R53" s="14"/>
      <c r="S53" s="34"/>
      <c r="T53" s="16"/>
      <c r="U53" s="151"/>
      <c r="V53" s="6"/>
      <c r="W53" s="16"/>
      <c r="X53" s="16"/>
    </row>
    <row r="54" spans="1:24">
      <c r="A54" s="62"/>
      <c r="B54" s="62"/>
      <c r="C54" s="62"/>
      <c r="D54" s="62"/>
      <c r="E54" s="62"/>
      <c r="F54" s="62"/>
      <c r="G54" s="62"/>
      <c r="H54" s="62"/>
      <c r="I54" s="62"/>
      <c r="J54" s="8"/>
      <c r="K54" s="16"/>
      <c r="L54" s="91"/>
      <c r="M54" s="33"/>
      <c r="N54" s="8"/>
      <c r="O54" s="6"/>
      <c r="P54" s="6"/>
      <c r="Q54" s="69"/>
      <c r="R54" s="14"/>
      <c r="S54" s="105"/>
      <c r="T54" s="34"/>
      <c r="U54" s="151"/>
      <c r="V54" s="6"/>
      <c r="W54" s="16"/>
      <c r="X54" s="16"/>
    </row>
    <row r="55" spans="1:24">
      <c r="A55" s="83"/>
      <c r="B55" s="62"/>
      <c r="C55" s="33"/>
      <c r="D55" s="62"/>
      <c r="E55" s="62"/>
      <c r="F55" s="62"/>
      <c r="G55" s="66"/>
      <c r="H55" s="62"/>
      <c r="I55" s="16"/>
      <c r="J55" s="8"/>
      <c r="K55" s="72"/>
      <c r="L55" s="91"/>
      <c r="M55" s="33"/>
      <c r="N55" s="6"/>
      <c r="O55" s="6"/>
      <c r="P55" s="6"/>
      <c r="Q55" s="6"/>
      <c r="R55" s="14"/>
      <c r="S55" s="105"/>
      <c r="T55" s="34"/>
      <c r="U55" s="151"/>
      <c r="V55" s="6"/>
      <c r="W55" s="16"/>
      <c r="X55" s="16"/>
    </row>
    <row r="56" spans="1:24">
      <c r="A56" s="83"/>
      <c r="B56" s="62"/>
      <c r="C56" s="33"/>
      <c r="D56" s="62"/>
      <c r="E56" s="62"/>
      <c r="F56" s="62"/>
      <c r="G56" s="66"/>
      <c r="H56" s="62"/>
      <c r="I56" s="16"/>
      <c r="J56" s="8"/>
      <c r="K56" s="72"/>
      <c r="L56" s="91"/>
      <c r="M56" s="33"/>
      <c r="N56" s="6"/>
      <c r="O56" s="6"/>
      <c r="P56" s="6"/>
      <c r="Q56" s="6"/>
      <c r="R56" s="14"/>
      <c r="S56" s="105"/>
      <c r="T56" s="34"/>
      <c r="U56" s="151"/>
      <c r="V56" s="16"/>
      <c r="W56" s="14"/>
      <c r="X56" s="14"/>
    </row>
    <row r="57" spans="1:24">
      <c r="A57" s="66"/>
      <c r="B57" s="66"/>
      <c r="C57" s="66"/>
      <c r="D57" s="66"/>
      <c r="E57" s="66"/>
      <c r="F57" s="66"/>
      <c r="G57" s="66"/>
      <c r="H57" s="66"/>
      <c r="I57" s="62"/>
      <c r="J57" s="132"/>
      <c r="K57" s="16"/>
      <c r="L57" s="33"/>
      <c r="M57" s="33"/>
      <c r="N57" s="6"/>
      <c r="O57" s="33"/>
      <c r="P57" s="6"/>
      <c r="Q57" s="69"/>
      <c r="R57" s="14"/>
      <c r="S57" s="105"/>
      <c r="T57" s="34"/>
      <c r="U57" s="116"/>
      <c r="V57" s="16"/>
      <c r="W57" s="16"/>
      <c r="X57" s="14"/>
    </row>
    <row r="58" spans="1:24">
      <c r="A58" s="66"/>
      <c r="B58" s="66"/>
      <c r="C58" s="66"/>
      <c r="D58" s="66"/>
      <c r="E58" s="66"/>
      <c r="F58" s="66"/>
      <c r="G58" s="66"/>
      <c r="H58" s="66"/>
      <c r="I58" s="72"/>
      <c r="J58" s="132"/>
      <c r="K58" s="16"/>
      <c r="L58" s="33"/>
      <c r="M58" s="33"/>
      <c r="N58" s="6"/>
      <c r="O58" s="33"/>
      <c r="P58" s="6"/>
      <c r="Q58" s="69"/>
      <c r="R58" s="14"/>
      <c r="S58" s="105"/>
      <c r="T58" s="34"/>
      <c r="U58" s="116"/>
      <c r="V58" s="152"/>
      <c r="W58" s="16"/>
      <c r="X58" s="14"/>
    </row>
    <row r="59" spans="1:24">
      <c r="A59" s="62"/>
      <c r="B59" s="62"/>
      <c r="C59" s="62"/>
      <c r="D59" s="72"/>
      <c r="E59" s="72"/>
      <c r="F59" s="129"/>
      <c r="G59" s="72"/>
      <c r="H59" s="72"/>
      <c r="I59" s="16"/>
      <c r="J59" s="14"/>
      <c r="K59" s="16"/>
      <c r="L59" s="91"/>
      <c r="M59" s="16"/>
      <c r="N59" s="6"/>
      <c r="O59" s="33"/>
      <c r="P59" s="6"/>
      <c r="Q59" s="69"/>
      <c r="R59" s="16"/>
      <c r="S59" s="105"/>
      <c r="T59" s="34"/>
      <c r="U59" s="116"/>
      <c r="V59" s="152"/>
      <c r="W59" s="16"/>
      <c r="X59" s="14"/>
    </row>
    <row r="60" spans="1:24">
      <c r="A60" s="62"/>
      <c r="B60" s="62"/>
      <c r="C60" s="62"/>
      <c r="D60" s="72"/>
      <c r="E60" s="72"/>
      <c r="F60" s="129"/>
      <c r="G60" s="83"/>
      <c r="H60" s="72"/>
      <c r="I60" s="16"/>
      <c r="J60" s="14"/>
      <c r="K60" s="16"/>
      <c r="L60" s="132"/>
      <c r="M60" s="14"/>
      <c r="N60" s="6"/>
      <c r="O60" s="6"/>
      <c r="P60" s="6"/>
      <c r="Q60" s="69"/>
      <c r="R60" s="16"/>
      <c r="S60" s="105"/>
      <c r="T60" s="34"/>
      <c r="U60" s="116"/>
      <c r="V60" s="43"/>
      <c r="W60" s="16"/>
      <c r="X60" s="14"/>
    </row>
    <row r="61" spans="1:23">
      <c r="A61" s="62"/>
      <c r="B61" s="62"/>
      <c r="C61" s="62"/>
      <c r="D61" s="8"/>
      <c r="E61" s="92"/>
      <c r="F61" s="83"/>
      <c r="G61" s="83"/>
      <c r="H61" s="72"/>
      <c r="I61" s="83"/>
      <c r="J61" s="14"/>
      <c r="K61" s="16"/>
      <c r="L61" s="132"/>
      <c r="M61" s="14"/>
      <c r="N61" s="6"/>
      <c r="O61" s="6"/>
      <c r="P61" s="6"/>
      <c r="Q61" s="69"/>
      <c r="R61" s="16"/>
      <c r="S61" s="105"/>
      <c r="T61" s="34"/>
      <c r="U61" s="116"/>
      <c r="V61" s="43"/>
      <c r="W61" s="43"/>
    </row>
    <row r="62" spans="1:24">
      <c r="A62" s="62"/>
      <c r="B62" s="62"/>
      <c r="C62" s="62"/>
      <c r="D62" s="72"/>
      <c r="E62" s="92"/>
      <c r="F62" s="83"/>
      <c r="G62" s="83"/>
      <c r="H62" s="72"/>
      <c r="I62" s="72"/>
      <c r="J62" s="136"/>
      <c r="K62" s="137"/>
      <c r="L62" s="93"/>
      <c r="M62" s="136"/>
      <c r="N62" s="137"/>
      <c r="O62" s="140"/>
      <c r="P62" s="140"/>
      <c r="Q62" s="146"/>
      <c r="R62" s="136"/>
      <c r="S62" s="124"/>
      <c r="T62" s="147"/>
      <c r="U62" s="153"/>
      <c r="V62" s="16"/>
      <c r="W62" s="14"/>
      <c r="X62" s="14"/>
    </row>
    <row r="63" spans="1:24">
      <c r="A63" s="62"/>
      <c r="B63" s="62"/>
      <c r="C63" s="62"/>
      <c r="D63" s="8"/>
      <c r="E63" s="62"/>
      <c r="F63" s="83"/>
      <c r="G63" s="19"/>
      <c r="H63" s="80"/>
      <c r="I63" s="72"/>
      <c r="J63" s="132"/>
      <c r="K63" s="16"/>
      <c r="L63" s="33"/>
      <c r="M63" s="14"/>
      <c r="N63" s="6"/>
      <c r="O63" s="6"/>
      <c r="P63" s="6"/>
      <c r="Q63" s="90"/>
      <c r="R63" s="14"/>
      <c r="S63" s="91"/>
      <c r="T63" s="14"/>
      <c r="U63" s="83"/>
      <c r="V63" s="16"/>
      <c r="W63" s="16"/>
      <c r="X63" s="14"/>
    </row>
    <row r="64" spans="1:24">
      <c r="A64" s="62"/>
      <c r="B64" s="62"/>
      <c r="C64" s="62"/>
      <c r="D64" s="8"/>
      <c r="E64" s="62"/>
      <c r="F64" s="83"/>
      <c r="G64" s="19"/>
      <c r="H64" s="80"/>
      <c r="I64" s="72"/>
      <c r="J64" s="132"/>
      <c r="K64" s="16"/>
      <c r="L64" s="33"/>
      <c r="M64" s="14"/>
      <c r="N64" s="6"/>
      <c r="O64" s="6"/>
      <c r="P64" s="6"/>
      <c r="Q64" s="90"/>
      <c r="R64" s="14"/>
      <c r="S64" s="91"/>
      <c r="T64" s="14"/>
      <c r="U64" s="83"/>
      <c r="V64" s="16"/>
      <c r="W64" s="16"/>
      <c r="X64" s="14"/>
    </row>
    <row r="65" spans="1:24">
      <c r="A65" s="62"/>
      <c r="B65" s="62"/>
      <c r="C65" s="62"/>
      <c r="D65" s="8"/>
      <c r="E65" s="92"/>
      <c r="F65" s="83"/>
      <c r="G65" s="83"/>
      <c r="H65" s="72"/>
      <c r="I65" s="83"/>
      <c r="J65" s="14"/>
      <c r="K65" s="16"/>
      <c r="L65" s="132"/>
      <c r="M65" s="14"/>
      <c r="N65" s="6"/>
      <c r="O65" s="6"/>
      <c r="P65" s="6"/>
      <c r="Q65" s="69"/>
      <c r="R65" s="16"/>
      <c r="S65" s="105"/>
      <c r="T65" s="34"/>
      <c r="U65" s="116"/>
      <c r="V65" s="16"/>
      <c r="W65" s="16"/>
      <c r="X65" s="14"/>
    </row>
    <row r="66" spans="1:24">
      <c r="A66" s="72"/>
      <c r="B66" s="72"/>
      <c r="C66" s="8"/>
      <c r="D66" s="8"/>
      <c r="E66" s="92"/>
      <c r="F66" s="83"/>
      <c r="G66" s="83"/>
      <c r="H66" s="83"/>
      <c r="I66" s="83"/>
      <c r="J66" s="16"/>
      <c r="K66" s="83"/>
      <c r="L66" s="91"/>
      <c r="M66" s="14"/>
      <c r="N66" s="16"/>
      <c r="O66" s="90"/>
      <c r="P66" s="6"/>
      <c r="Q66" s="69"/>
      <c r="R66" s="16"/>
      <c r="S66" s="91"/>
      <c r="T66" s="16"/>
      <c r="U66" s="116"/>
      <c r="V66" s="16"/>
      <c r="W66" s="14"/>
      <c r="X66" s="14"/>
    </row>
    <row r="67" ht="64.15" customHeight="1" spans="1:24">
      <c r="A67" s="62"/>
      <c r="B67" s="62"/>
      <c r="C67" s="62"/>
      <c r="D67" s="72"/>
      <c r="E67" s="92"/>
      <c r="F67" s="83"/>
      <c r="G67" s="83"/>
      <c r="H67" s="72"/>
      <c r="I67" s="72"/>
      <c r="J67" s="136"/>
      <c r="K67" s="137"/>
      <c r="L67" s="93"/>
      <c r="M67" s="136"/>
      <c r="N67" s="137"/>
      <c r="O67" s="140"/>
      <c r="P67" s="140"/>
      <c r="Q67" s="146"/>
      <c r="R67" s="136"/>
      <c r="S67" s="124"/>
      <c r="T67" s="147"/>
      <c r="U67" s="117"/>
      <c r="V67" s="16"/>
      <c r="W67" s="16"/>
      <c r="X67" s="14"/>
    </row>
    <row r="68" spans="1:24">
      <c r="A68" s="62"/>
      <c r="B68" s="72"/>
      <c r="C68" s="8"/>
      <c r="D68" s="8"/>
      <c r="E68" s="92"/>
      <c r="F68" s="83"/>
      <c r="G68" s="83"/>
      <c r="H68" s="83"/>
      <c r="I68" s="72"/>
      <c r="J68" s="16"/>
      <c r="K68" s="83"/>
      <c r="L68" s="91"/>
      <c r="M68" s="14"/>
      <c r="N68" s="16"/>
      <c r="O68" s="90"/>
      <c r="P68" s="90"/>
      <c r="Q68" s="69"/>
      <c r="R68" s="14"/>
      <c r="S68" s="91"/>
      <c r="T68" s="91"/>
      <c r="U68" s="83"/>
      <c r="V68" s="14"/>
      <c r="W68" s="14"/>
      <c r="X68" s="14"/>
    </row>
    <row r="69" spans="1:24">
      <c r="A69" s="62"/>
      <c r="B69" s="72"/>
      <c r="C69" s="8"/>
      <c r="D69" s="8"/>
      <c r="E69" s="92"/>
      <c r="F69" s="83"/>
      <c r="G69" s="83"/>
      <c r="H69" s="72"/>
      <c r="I69" s="72"/>
      <c r="J69" s="16"/>
      <c r="K69" s="72"/>
      <c r="L69" s="93"/>
      <c r="M69" s="14"/>
      <c r="N69" s="16"/>
      <c r="O69" s="6"/>
      <c r="P69" s="6"/>
      <c r="Q69" s="90"/>
      <c r="R69" s="14"/>
      <c r="S69" s="124"/>
      <c r="T69" s="124"/>
      <c r="U69" s="72"/>
      <c r="V69" s="14"/>
      <c r="W69" s="14"/>
      <c r="X69" s="14"/>
    </row>
  </sheetData>
  <sheetProtection formatCells="0" insertHyperlinks="0" autoFilter="0"/>
  <autoFilter xmlns:etc="http://www.wps.cn/officeDocument/2017/etCustomData" ref="A2:X69" etc:filterBottomFollowUsedRange="1">
    <extLst/>
  </autoFilter>
  <mergeCells count="2">
    <mergeCell ref="J1:U1"/>
    <mergeCell ref="V1:X1"/>
  </mergeCells>
  <dataValidations count="3">
    <dataValidation type="list" allowBlank="1" showErrorMessage="1" errorTitle="错误提示" error="请输入下拉列表中的值" id="{a24475e9-2440-487d-8b60-bcce40f9da1c}" sqref="L3:L69" errorStyle="information">
      <formula1>"交易员工作站,风险管理工作站,场外运营端（web）,场外对客Web端,展业工作站（web）,投顾平台（web）,Headsbos,场外量化终端,LAMP,RDS,无,待定"</formula1>
    </dataValidation>
    <dataValidation type="list" allowBlank="1" showErrorMessage="1" errorTitle="错误提示" error="请输入下拉列表中的值" id="{5543fad6-de82-49ba-b44f-49595aefac6e}" sqref="J3:J69" errorStyle="information">
      <formula1>"策略平台,估值及风险计量,交易,客需/交易后,平台,数据服务"</formula1>
    </dataValidation>
    <dataValidation type="list" allowBlank="1" showErrorMessage="1" errorTitle="错误提示" error="请输入下拉列表中的值" sqref="S6:T6 T21 T29 T34 S49 S56:T56 T65 S2:S5 S7:S45 S51:S55 S57:S1048576 T7:T12 T23:T24 T26:T27 T50:T52 T54:T55 T57:T62 T67:T69 S46:T48">
      <formula1>"是,否"</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
  <sheetViews>
    <sheetView workbookViewId="0">
      <selection activeCell="A1" sqref="A1:N1"/>
    </sheetView>
  </sheetViews>
  <sheetFormatPr defaultColWidth="9" defaultRowHeight="13.5"/>
  <cols>
    <col min="1" max="1" width="19.25" style="29" customWidth="1"/>
    <col min="2" max="2" width="16.375" customWidth="1"/>
    <col min="3" max="3" width="20" customWidth="1"/>
    <col min="4" max="4" width="19.375" customWidth="1"/>
    <col min="5" max="5" width="58.625" customWidth="1"/>
    <col min="6" max="6" width="63.5" customWidth="1"/>
    <col min="8" max="9" width="13.5" customWidth="1"/>
    <col min="10" max="11" width="15.125" hidden="1" customWidth="1"/>
    <col min="12" max="14" width="14" hidden="1" customWidth="1"/>
    <col min="15" max="16" width="9" hidden="1" customWidth="1"/>
  </cols>
  <sheetData>
    <row r="1" ht="18" spans="1:14">
      <c r="A1" s="30" t="s">
        <v>263</v>
      </c>
      <c r="B1" s="30"/>
      <c r="C1" s="30"/>
      <c r="D1" s="30"/>
      <c r="E1" s="30"/>
      <c r="F1" s="30"/>
      <c r="G1" s="30"/>
      <c r="H1" s="30"/>
      <c r="I1" s="30"/>
      <c r="J1" s="30"/>
      <c r="K1" s="30"/>
      <c r="L1" s="30"/>
      <c r="M1" s="30"/>
      <c r="N1" s="30"/>
    </row>
    <row r="2" ht="17.25" spans="1:14">
      <c r="A2" s="31" t="s">
        <v>264</v>
      </c>
      <c r="B2" s="31"/>
      <c r="C2" s="31"/>
      <c r="D2" s="31"/>
      <c r="E2" s="31"/>
      <c r="F2" s="31"/>
      <c r="G2" s="31"/>
      <c r="H2" s="31"/>
      <c r="I2" s="37"/>
      <c r="J2" s="38" t="s">
        <v>265</v>
      </c>
      <c r="K2" s="39"/>
      <c r="L2" s="39"/>
      <c r="M2" s="39"/>
      <c r="N2" s="47"/>
    </row>
    <row r="3" ht="36" spans="1:14">
      <c r="A3" s="32" t="s">
        <v>266</v>
      </c>
      <c r="B3" s="32" t="s">
        <v>267</v>
      </c>
      <c r="C3" s="32" t="s">
        <v>268</v>
      </c>
      <c r="D3" s="32" t="s">
        <v>269</v>
      </c>
      <c r="E3" s="32" t="s">
        <v>270</v>
      </c>
      <c r="F3" s="32" t="s">
        <v>271</v>
      </c>
      <c r="G3" s="32" t="s">
        <v>272</v>
      </c>
      <c r="H3" s="32" t="s">
        <v>273</v>
      </c>
      <c r="I3" s="32" t="s">
        <v>274</v>
      </c>
      <c r="J3" s="40" t="s">
        <v>275</v>
      </c>
      <c r="K3" s="40" t="s">
        <v>276</v>
      </c>
      <c r="L3" s="41" t="s">
        <v>277</v>
      </c>
      <c r="M3" s="41" t="s">
        <v>278</v>
      </c>
      <c r="N3" s="41" t="s">
        <v>279</v>
      </c>
    </row>
    <row r="4" ht="16.5" spans="1:16">
      <c r="A4" s="33"/>
      <c r="B4" s="16"/>
      <c r="C4" s="34"/>
      <c r="D4" s="34"/>
      <c r="E4" s="34"/>
      <c r="F4" s="34"/>
      <c r="G4" s="14"/>
      <c r="H4" s="16"/>
      <c r="I4" s="16"/>
      <c r="J4" s="14"/>
      <c r="K4" s="14"/>
      <c r="L4" s="16"/>
      <c r="M4" s="16"/>
      <c r="N4" s="16"/>
      <c r="O4" s="46"/>
      <c r="P4" s="46"/>
    </row>
    <row r="5" ht="16.5" spans="1:16">
      <c r="A5" s="33"/>
      <c r="B5" s="16"/>
      <c r="C5" s="34"/>
      <c r="D5" s="34"/>
      <c r="E5" s="34"/>
      <c r="F5" s="33"/>
      <c r="G5" s="14"/>
      <c r="H5" s="16"/>
      <c r="I5" s="16"/>
      <c r="J5" s="14"/>
      <c r="K5" s="14"/>
      <c r="L5" s="16"/>
      <c r="M5" s="16"/>
      <c r="N5" s="16"/>
      <c r="O5" s="46"/>
      <c r="P5" s="46"/>
    </row>
    <row r="6" ht="16.5" spans="1:16">
      <c r="A6" s="33"/>
      <c r="B6" s="16"/>
      <c r="C6" s="34"/>
      <c r="D6" s="34"/>
      <c r="E6" s="34"/>
      <c r="F6" s="34"/>
      <c r="G6" s="14"/>
      <c r="H6" s="16"/>
      <c r="I6" s="16"/>
      <c r="J6" s="14"/>
      <c r="K6" s="14"/>
      <c r="L6" s="16"/>
      <c r="M6" s="16"/>
      <c r="N6" s="16"/>
      <c r="O6" s="46"/>
      <c r="P6" s="46"/>
    </row>
    <row r="7" ht="16.5" spans="1:16">
      <c r="A7" s="33"/>
      <c r="B7" s="16"/>
      <c r="C7" s="34"/>
      <c r="D7" s="34"/>
      <c r="E7" s="34"/>
      <c r="F7" s="34"/>
      <c r="G7" s="14"/>
      <c r="H7" s="16"/>
      <c r="I7" s="16"/>
      <c r="J7" s="14"/>
      <c r="K7" s="14"/>
      <c r="L7" s="16"/>
      <c r="M7" s="16"/>
      <c r="N7" s="16"/>
      <c r="O7" s="46"/>
      <c r="P7" s="46"/>
    </row>
    <row r="8" ht="16.5" spans="1:16">
      <c r="A8" s="33"/>
      <c r="B8" s="14"/>
      <c r="C8" s="34"/>
      <c r="D8" s="34"/>
      <c r="E8" s="34"/>
      <c r="F8" s="33"/>
      <c r="G8" s="14"/>
      <c r="H8" s="16"/>
      <c r="I8" s="16"/>
      <c r="J8" s="14"/>
      <c r="K8" s="14"/>
      <c r="L8" s="16"/>
      <c r="M8" s="16"/>
      <c r="N8" s="16"/>
      <c r="O8" s="46"/>
      <c r="P8" s="46"/>
    </row>
    <row r="9" ht="16.5" spans="1:16">
      <c r="A9" s="33"/>
      <c r="B9" s="16"/>
      <c r="C9" s="34"/>
      <c r="D9" s="34"/>
      <c r="E9" s="34"/>
      <c r="F9" s="33"/>
      <c r="G9" s="14"/>
      <c r="H9" s="16"/>
      <c r="I9" s="16"/>
      <c r="J9" s="14"/>
      <c r="K9" s="14"/>
      <c r="L9" s="14"/>
      <c r="M9" s="14"/>
      <c r="N9" s="14"/>
      <c r="O9" s="46"/>
      <c r="P9" s="46"/>
    </row>
    <row r="10" ht="16.5" spans="1:16">
      <c r="A10" s="33"/>
      <c r="B10" s="16"/>
      <c r="C10" s="34"/>
      <c r="D10" s="34"/>
      <c r="E10" s="34"/>
      <c r="F10" s="33"/>
      <c r="G10" s="14"/>
      <c r="H10" s="16"/>
      <c r="I10" s="16"/>
      <c r="J10" s="14"/>
      <c r="K10" s="14"/>
      <c r="L10" s="14"/>
      <c r="M10" s="14"/>
      <c r="N10" s="14"/>
      <c r="O10" s="46"/>
      <c r="P10" s="46"/>
    </row>
    <row r="11" ht="16.5" spans="1:16">
      <c r="A11" s="33"/>
      <c r="B11" s="16"/>
      <c r="C11" s="34"/>
      <c r="D11" s="34"/>
      <c r="E11" s="34"/>
      <c r="F11" s="33"/>
      <c r="G11" s="14"/>
      <c r="H11" s="16"/>
      <c r="I11" s="16"/>
      <c r="J11" s="42"/>
      <c r="K11" s="14"/>
      <c r="L11" s="14"/>
      <c r="M11" s="14"/>
      <c r="N11" s="14"/>
      <c r="O11" s="46"/>
      <c r="P11" s="46"/>
    </row>
    <row r="12" ht="16.5" spans="1:16">
      <c r="A12" s="33"/>
      <c r="B12" s="16"/>
      <c r="C12" s="34"/>
      <c r="D12" s="34"/>
      <c r="E12" s="34"/>
      <c r="F12" s="34"/>
      <c r="G12" s="14"/>
      <c r="H12" s="16"/>
      <c r="I12" s="16"/>
      <c r="J12" s="42"/>
      <c r="K12" s="14"/>
      <c r="L12" s="16"/>
      <c r="M12" s="16"/>
      <c r="N12" s="16"/>
      <c r="O12" s="46"/>
      <c r="P12" s="46"/>
    </row>
    <row r="13" ht="16.5" spans="1:16">
      <c r="A13" s="33"/>
      <c r="B13" s="16"/>
      <c r="C13" s="34"/>
      <c r="D13" s="34"/>
      <c r="E13" s="34"/>
      <c r="F13" s="34"/>
      <c r="G13" s="14"/>
      <c r="H13" s="16"/>
      <c r="I13" s="16"/>
      <c r="J13" s="42"/>
      <c r="K13" s="14"/>
      <c r="L13" s="16"/>
      <c r="M13" s="16"/>
      <c r="N13" s="16"/>
      <c r="O13" s="46"/>
      <c r="P13" s="46"/>
    </row>
    <row r="14" ht="16.5" spans="1:14">
      <c r="A14" s="33"/>
      <c r="B14" s="16"/>
      <c r="C14" s="34"/>
      <c r="D14" s="34"/>
      <c r="E14" s="34"/>
      <c r="F14" s="33"/>
      <c r="G14" s="16"/>
      <c r="H14" s="16"/>
      <c r="I14" s="16"/>
      <c r="J14" s="1"/>
      <c r="K14" s="1"/>
      <c r="L14" s="43"/>
      <c r="M14" s="43"/>
      <c r="N14" s="43"/>
    </row>
    <row r="15" spans="5:6">
      <c r="E15" s="29"/>
      <c r="F15" s="29"/>
    </row>
    <row r="16" ht="18" spans="1:14">
      <c r="A16" s="30" t="s">
        <v>280</v>
      </c>
      <c r="B16" s="30"/>
      <c r="C16" s="30"/>
      <c r="D16" s="30"/>
      <c r="E16" s="30"/>
      <c r="F16" s="30"/>
      <c r="G16" s="30"/>
      <c r="H16" s="30"/>
      <c r="I16" s="30"/>
      <c r="J16" s="30"/>
      <c r="K16" s="30"/>
      <c r="L16" s="30"/>
      <c r="M16" s="30"/>
      <c r="N16" s="30"/>
    </row>
    <row r="17" ht="17.25" spans="1:14">
      <c r="A17" s="31" t="s">
        <v>264</v>
      </c>
      <c r="B17" s="31"/>
      <c r="C17" s="31"/>
      <c r="D17" s="31"/>
      <c r="E17" s="31"/>
      <c r="F17" s="31"/>
      <c r="G17" s="31"/>
      <c r="H17" s="31"/>
      <c r="I17" s="37"/>
      <c r="J17" s="38" t="s">
        <v>265</v>
      </c>
      <c r="K17" s="39"/>
      <c r="L17" s="39"/>
      <c r="M17" s="39"/>
      <c r="N17" s="47"/>
    </row>
    <row r="18" ht="36" spans="1:14">
      <c r="A18" s="32" t="s">
        <v>266</v>
      </c>
      <c r="B18" s="32" t="s">
        <v>267</v>
      </c>
      <c r="C18" s="32" t="s">
        <v>268</v>
      </c>
      <c r="D18" s="32" t="s">
        <v>269</v>
      </c>
      <c r="E18" s="32" t="s">
        <v>270</v>
      </c>
      <c r="F18" s="32" t="s">
        <v>271</v>
      </c>
      <c r="G18" s="32" t="s">
        <v>272</v>
      </c>
      <c r="H18" s="32" t="s">
        <v>273</v>
      </c>
      <c r="I18" s="32" t="s">
        <v>274</v>
      </c>
      <c r="J18" s="44" t="s">
        <v>275</v>
      </c>
      <c r="K18" s="44" t="s">
        <v>276</v>
      </c>
      <c r="L18" s="45" t="s">
        <v>277</v>
      </c>
      <c r="M18" s="45" t="s">
        <v>278</v>
      </c>
      <c r="N18" s="45" t="s">
        <v>279</v>
      </c>
    </row>
    <row r="19" ht="16.5" spans="1:16">
      <c r="A19" s="33"/>
      <c r="B19" s="16"/>
      <c r="C19" s="34"/>
      <c r="D19" s="34"/>
      <c r="E19" s="34"/>
      <c r="F19" s="33"/>
      <c r="G19" s="16"/>
      <c r="H19" s="16"/>
      <c r="I19" s="16"/>
      <c r="J19" s="14"/>
      <c r="K19" s="16"/>
      <c r="L19" s="14"/>
      <c r="M19" s="14"/>
      <c r="N19" s="14"/>
      <c r="O19" s="46"/>
      <c r="P19" s="46"/>
    </row>
    <row r="20" ht="16.5" spans="1:14">
      <c r="A20" s="33"/>
      <c r="B20" s="16"/>
      <c r="C20" s="33"/>
      <c r="D20" s="16"/>
      <c r="E20" s="36"/>
      <c r="F20" s="16"/>
      <c r="G20" s="33"/>
      <c r="H20" s="16"/>
      <c r="I20" s="33"/>
      <c r="J20" s="46"/>
      <c r="K20" s="46"/>
      <c r="L20" s="46"/>
      <c r="M20" s="46"/>
      <c r="N20" s="46"/>
    </row>
    <row r="21" ht="16.5" spans="1:14">
      <c r="A21" s="33"/>
      <c r="B21" s="16"/>
      <c r="C21" s="33"/>
      <c r="D21" s="16"/>
      <c r="E21" s="36"/>
      <c r="F21" s="16"/>
      <c r="G21" s="33"/>
      <c r="H21" s="16"/>
      <c r="I21" s="33"/>
      <c r="J21" s="46"/>
      <c r="K21" s="46"/>
      <c r="L21" s="46"/>
      <c r="M21" s="46"/>
      <c r="N21" s="46"/>
    </row>
    <row r="22" ht="16.5" spans="1:9">
      <c r="A22" s="33"/>
      <c r="B22" s="14"/>
      <c r="C22" s="34"/>
      <c r="D22" s="34"/>
      <c r="E22" s="34"/>
      <c r="F22" s="33"/>
      <c r="G22" s="14"/>
      <c r="H22" s="16"/>
      <c r="I22" s="16"/>
    </row>
    <row r="23" spans="5:6">
      <c r="E23" s="29"/>
      <c r="F23" s="29"/>
    </row>
    <row r="24" spans="5:6">
      <c r="E24" s="29"/>
      <c r="F24" s="29"/>
    </row>
    <row r="25" spans="5:6">
      <c r="E25" s="29"/>
      <c r="F25" s="29"/>
    </row>
    <row r="26" spans="5:6">
      <c r="E26" s="29"/>
      <c r="F26" s="29"/>
    </row>
    <row r="27" ht="18" spans="1:14">
      <c r="A27" s="35" t="s">
        <v>201</v>
      </c>
      <c r="B27" s="35"/>
      <c r="C27" s="35"/>
      <c r="D27" s="35"/>
      <c r="E27" s="35"/>
      <c r="F27" s="35"/>
      <c r="G27" s="35"/>
      <c r="H27" s="35"/>
      <c r="I27" s="35"/>
      <c r="J27" s="35"/>
      <c r="K27" s="35"/>
      <c r="L27" s="35"/>
      <c r="M27" s="35"/>
      <c r="N27" s="35"/>
    </row>
    <row r="28" ht="17.25" spans="1:14">
      <c r="A28" s="31" t="s">
        <v>281</v>
      </c>
      <c r="B28" s="31"/>
      <c r="C28" s="31"/>
      <c r="D28" s="31"/>
      <c r="E28" s="31"/>
      <c r="F28" s="31"/>
      <c r="G28" s="31"/>
      <c r="H28" s="31"/>
      <c r="I28" s="37"/>
      <c r="J28" s="38" t="s">
        <v>265</v>
      </c>
      <c r="K28" s="39"/>
      <c r="L28" s="39"/>
      <c r="M28" s="39"/>
      <c r="N28" s="47"/>
    </row>
    <row r="29" ht="36" spans="1:14">
      <c r="A29" s="32" t="s">
        <v>266</v>
      </c>
      <c r="B29" s="32" t="s">
        <v>267</v>
      </c>
      <c r="C29" s="32" t="s">
        <v>268</v>
      </c>
      <c r="D29" s="32" t="s">
        <v>269</v>
      </c>
      <c r="E29" s="32" t="s">
        <v>270</v>
      </c>
      <c r="F29" s="32" t="s">
        <v>271</v>
      </c>
      <c r="G29" s="32" t="s">
        <v>272</v>
      </c>
      <c r="H29" s="32" t="s">
        <v>273</v>
      </c>
      <c r="I29" s="32" t="s">
        <v>274</v>
      </c>
      <c r="J29" s="40" t="s">
        <v>275</v>
      </c>
      <c r="K29" s="40" t="s">
        <v>276</v>
      </c>
      <c r="L29" s="41" t="s">
        <v>277</v>
      </c>
      <c r="M29" s="41" t="s">
        <v>278</v>
      </c>
      <c r="N29" s="41" t="s">
        <v>279</v>
      </c>
    </row>
    <row r="30" ht="16.5" spans="1:16">
      <c r="A30" s="33"/>
      <c r="B30" s="16"/>
      <c r="C30" s="33"/>
      <c r="D30" s="34"/>
      <c r="E30" s="34"/>
      <c r="F30" s="33"/>
      <c r="G30" s="14"/>
      <c r="H30" s="16"/>
      <c r="I30" s="16"/>
      <c r="J30" s="14"/>
      <c r="K30" s="14"/>
      <c r="L30" s="16"/>
      <c r="M30" s="16"/>
      <c r="N30" s="14"/>
      <c r="O30" s="46"/>
      <c r="P30" s="46"/>
    </row>
    <row r="31" ht="16.5" spans="1:9">
      <c r="A31" s="33"/>
      <c r="B31" s="16"/>
      <c r="C31" s="33"/>
      <c r="D31" s="33"/>
      <c r="E31" s="33"/>
      <c r="F31" s="33"/>
      <c r="G31" s="33"/>
      <c r="H31" s="33"/>
      <c r="I31" s="33"/>
    </row>
    <row r="32" spans="5:6">
      <c r="E32" s="29"/>
      <c r="F32" s="29"/>
    </row>
    <row r="33" spans="5:6">
      <c r="E33" s="29"/>
      <c r="F33" s="29"/>
    </row>
    <row r="34" spans="5:6">
      <c r="E34" s="29"/>
      <c r="F34" s="29"/>
    </row>
    <row r="35" spans="5:6">
      <c r="E35" s="29"/>
      <c r="F35" s="29"/>
    </row>
    <row r="36" spans="5:6">
      <c r="E36" s="29"/>
      <c r="F36" s="29"/>
    </row>
  </sheetData>
  <sheetProtection formatCells="0" insertHyperlinks="0" autoFilter="0"/>
  <mergeCells count="9">
    <mergeCell ref="A1:N1"/>
    <mergeCell ref="A2:H2"/>
    <mergeCell ref="J2:N2"/>
    <mergeCell ref="A16:N16"/>
    <mergeCell ref="A17:H17"/>
    <mergeCell ref="J17:N17"/>
    <mergeCell ref="A27:N27"/>
    <mergeCell ref="A28:H28"/>
    <mergeCell ref="J28:N2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topLeftCell="M2" workbookViewId="0">
      <selection activeCell="B25" sqref="B25"/>
    </sheetView>
  </sheetViews>
  <sheetFormatPr defaultColWidth="9" defaultRowHeight="16.5"/>
  <cols>
    <col min="1" max="1" width="15.125" style="1" customWidth="1"/>
    <col min="2" max="2" width="14.025" style="1" customWidth="1"/>
    <col min="3" max="3" width="30.5" style="1" customWidth="1"/>
    <col min="4" max="5" width="31.3333333333333" style="1" customWidth="1"/>
    <col min="6" max="6" width="50.875" style="1" hidden="1" customWidth="1"/>
    <col min="7" max="7" width="56.375" style="1" hidden="1" customWidth="1"/>
    <col min="8" max="8" width="44" style="1" hidden="1" customWidth="1"/>
    <col min="9" max="9" width="60.5" style="1" hidden="1" customWidth="1"/>
    <col min="10" max="10" width="55.25" style="1" hidden="1" customWidth="1"/>
    <col min="11" max="11" width="79.7083333333333" style="1" customWidth="1"/>
    <col min="12" max="12" width="55.875" style="1" customWidth="1"/>
    <col min="13" max="13" width="55.125" style="1" customWidth="1"/>
    <col min="14" max="14" width="57" style="1" customWidth="1"/>
    <col min="15" max="15" width="60.625" style="1" customWidth="1"/>
    <col min="16" max="16" width="53.625" style="1" customWidth="1"/>
    <col min="17" max="17" width="13.525" style="1" customWidth="1"/>
    <col min="18" max="28" width="9" style="1" customWidth="1"/>
    <col min="29" max="16384" width="9" style="1"/>
  </cols>
  <sheetData>
    <row r="1" ht="21.85" customHeight="1" spans="1:17">
      <c r="A1" s="2" t="s">
        <v>282</v>
      </c>
      <c r="B1" s="2" t="s">
        <v>283</v>
      </c>
      <c r="C1" s="2" t="s">
        <v>284</v>
      </c>
      <c r="D1" s="2"/>
      <c r="E1" s="2"/>
      <c r="F1" s="20" t="s">
        <v>285</v>
      </c>
      <c r="G1" s="20" t="s">
        <v>285</v>
      </c>
      <c r="H1" s="20" t="s">
        <v>285</v>
      </c>
      <c r="I1" s="20" t="s">
        <v>285</v>
      </c>
      <c r="J1" s="20" t="s">
        <v>285</v>
      </c>
      <c r="K1" s="20" t="s">
        <v>285</v>
      </c>
      <c r="L1" s="20" t="s">
        <v>285</v>
      </c>
      <c r="M1" s="20" t="s">
        <v>285</v>
      </c>
      <c r="N1" s="20" t="s">
        <v>285</v>
      </c>
      <c r="O1" s="20" t="s">
        <v>285</v>
      </c>
      <c r="P1" s="20" t="s">
        <v>285</v>
      </c>
      <c r="Q1" s="20" t="s">
        <v>285</v>
      </c>
    </row>
    <row r="2" ht="21.85" customHeight="1" spans="1:17">
      <c r="A2" s="3"/>
      <c r="B2" s="3"/>
      <c r="C2" s="3" t="s">
        <v>286</v>
      </c>
      <c r="D2" s="3" t="s">
        <v>287</v>
      </c>
      <c r="E2" s="3" t="s">
        <v>288</v>
      </c>
      <c r="F2" s="21">
        <f t="array" ref="F2:Q2">TRANSPOSE(B3:B12)</f>
        <v>46097</v>
      </c>
      <c r="G2" s="21">
        <v>46098</v>
      </c>
      <c r="H2" s="21">
        <v>46099</v>
      </c>
      <c r="I2" s="21">
        <v>46100</v>
      </c>
      <c r="J2" s="21">
        <v>46101</v>
      </c>
      <c r="K2" s="21">
        <v>46104</v>
      </c>
      <c r="L2" s="21">
        <v>46105</v>
      </c>
      <c r="M2" s="21">
        <v>46106</v>
      </c>
      <c r="N2" s="21">
        <v>46107</v>
      </c>
      <c r="O2" s="21">
        <v>46108</v>
      </c>
      <c r="P2" s="21" t="e">
        <v>#N/A</v>
      </c>
      <c r="Q2" s="21" t="e">
        <v>#N/A</v>
      </c>
    </row>
    <row r="3" ht="49.5" spans="1:17">
      <c r="A3" s="4" t="s">
        <v>289</v>
      </c>
      <c r="B3" s="5">
        <v>46097</v>
      </c>
      <c r="C3" s="6" t="s">
        <v>290</v>
      </c>
      <c r="D3" s="6" t="s">
        <v>291</v>
      </c>
      <c r="E3" s="22"/>
      <c r="F3" s="23" t="s">
        <v>292</v>
      </c>
      <c r="G3" s="23" t="s">
        <v>293</v>
      </c>
      <c r="H3" s="23"/>
      <c r="I3" s="23" t="s">
        <v>294</v>
      </c>
      <c r="J3" s="23" t="s">
        <v>295</v>
      </c>
      <c r="K3" s="23" t="s">
        <v>296</v>
      </c>
      <c r="L3" s="23"/>
      <c r="M3" s="23"/>
      <c r="N3" s="23"/>
      <c r="O3" s="23"/>
      <c r="P3" s="23"/>
      <c r="Q3" s="14"/>
    </row>
    <row r="4" ht="33" spans="1:17">
      <c r="A4" s="7"/>
      <c r="B4" s="5">
        <f>WORKDAY(B3,1)</f>
        <v>46098</v>
      </c>
      <c r="C4" s="8" t="s">
        <v>297</v>
      </c>
      <c r="D4" s="8" t="s">
        <v>298</v>
      </c>
      <c r="E4" s="24"/>
      <c r="F4" s="25"/>
      <c r="G4" s="25"/>
      <c r="H4" s="25"/>
      <c r="I4" s="25"/>
      <c r="J4" s="25"/>
      <c r="K4" s="25"/>
      <c r="L4" s="25"/>
      <c r="M4" s="25"/>
      <c r="N4" s="25"/>
      <c r="O4" s="25"/>
      <c r="P4" s="25"/>
      <c r="Q4" s="14"/>
    </row>
    <row r="5" ht="33" spans="1:17">
      <c r="A5" s="7"/>
      <c r="B5" s="5">
        <f>WORKDAY(B4,1)</f>
        <v>46099</v>
      </c>
      <c r="C5" s="8" t="s">
        <v>299</v>
      </c>
      <c r="D5" s="8" t="s">
        <v>300</v>
      </c>
      <c r="E5" s="26"/>
      <c r="F5" s="25"/>
      <c r="G5" s="25"/>
      <c r="H5" s="25"/>
      <c r="I5" s="25"/>
      <c r="J5" s="25"/>
      <c r="K5" s="25"/>
      <c r="L5" s="25"/>
      <c r="M5" s="25"/>
      <c r="N5" s="25"/>
      <c r="O5" s="25"/>
      <c r="P5" s="25"/>
      <c r="Q5" s="14"/>
    </row>
    <row r="6" spans="1:17">
      <c r="A6" s="7"/>
      <c r="B6" s="5">
        <f>WORKDAY(B5,1)</f>
        <v>46100</v>
      </c>
      <c r="C6" s="9" t="s">
        <v>301</v>
      </c>
      <c r="D6" s="9" t="s">
        <v>302</v>
      </c>
      <c r="E6" s="9" t="s">
        <v>303</v>
      </c>
      <c r="F6" s="25"/>
      <c r="G6" s="25"/>
      <c r="H6" s="25"/>
      <c r="I6" s="25"/>
      <c r="J6" s="25"/>
      <c r="K6" s="25"/>
      <c r="L6" s="25"/>
      <c r="M6" s="25"/>
      <c r="N6" s="25"/>
      <c r="O6" s="25"/>
      <c r="P6" s="25"/>
      <c r="Q6" s="14"/>
    </row>
    <row r="7" spans="1:17">
      <c r="A7" s="7"/>
      <c r="B7" s="5">
        <f t="shared" ref="B7:B12" si="0">WORKDAY(B6,1)</f>
        <v>46101</v>
      </c>
      <c r="C7" s="10"/>
      <c r="D7" s="10"/>
      <c r="E7" s="10"/>
      <c r="F7" s="25"/>
      <c r="G7" s="25"/>
      <c r="H7" s="25"/>
      <c r="I7" s="25"/>
      <c r="J7" s="25"/>
      <c r="K7" s="25"/>
      <c r="L7" s="25"/>
      <c r="M7" s="25"/>
      <c r="N7" s="25"/>
      <c r="O7" s="25"/>
      <c r="P7" s="25"/>
      <c r="Q7" s="14"/>
    </row>
    <row r="8" spans="1:17">
      <c r="A8" s="7"/>
      <c r="B8" s="5">
        <f t="shared" si="0"/>
        <v>46104</v>
      </c>
      <c r="C8" s="10"/>
      <c r="D8" s="10"/>
      <c r="E8" s="10"/>
      <c r="F8" s="25"/>
      <c r="G8" s="25"/>
      <c r="H8" s="25"/>
      <c r="I8" s="25"/>
      <c r="J8" s="25"/>
      <c r="K8" s="25"/>
      <c r="L8" s="25"/>
      <c r="M8" s="25"/>
      <c r="N8" s="25"/>
      <c r="O8" s="25"/>
      <c r="P8" s="25"/>
      <c r="Q8" s="14"/>
    </row>
    <row r="9" spans="1:17">
      <c r="A9" s="7"/>
      <c r="B9" s="5">
        <f t="shared" si="0"/>
        <v>46105</v>
      </c>
      <c r="C9" s="10"/>
      <c r="D9" s="10"/>
      <c r="E9" s="10"/>
      <c r="F9" s="25"/>
      <c r="G9" s="25"/>
      <c r="H9" s="25"/>
      <c r="I9" s="25"/>
      <c r="J9" s="25"/>
      <c r="K9" s="25"/>
      <c r="L9" s="25"/>
      <c r="M9" s="25"/>
      <c r="N9" s="25"/>
      <c r="O9" s="25"/>
      <c r="P9" s="25"/>
      <c r="Q9" s="14"/>
    </row>
    <row r="10" spans="1:17">
      <c r="A10" s="7"/>
      <c r="B10" s="5">
        <f t="shared" si="0"/>
        <v>46106</v>
      </c>
      <c r="C10" s="10"/>
      <c r="D10" s="10"/>
      <c r="E10" s="10"/>
      <c r="F10" s="25"/>
      <c r="G10" s="25"/>
      <c r="H10" s="25"/>
      <c r="I10" s="25"/>
      <c r="J10" s="25"/>
      <c r="K10" s="25"/>
      <c r="L10" s="25"/>
      <c r="M10" s="25"/>
      <c r="N10" s="25"/>
      <c r="O10" s="25"/>
      <c r="P10" s="25"/>
      <c r="Q10" s="14"/>
    </row>
    <row r="11" spans="1:17">
      <c r="A11" s="7"/>
      <c r="B11" s="5">
        <f t="shared" si="0"/>
        <v>46107</v>
      </c>
      <c r="C11" s="11"/>
      <c r="D11" s="11"/>
      <c r="E11" s="11"/>
      <c r="F11" s="25"/>
      <c r="G11" s="25"/>
      <c r="H11" s="25"/>
      <c r="I11" s="25"/>
      <c r="J11" s="25"/>
      <c r="K11" s="25"/>
      <c r="L11" s="25"/>
      <c r="M11" s="25"/>
      <c r="N11" s="25"/>
      <c r="O11" s="25"/>
      <c r="P11" s="25"/>
      <c r="Q11" s="14"/>
    </row>
    <row r="12" spans="1:17">
      <c r="A12" s="7"/>
      <c r="B12" s="12">
        <f t="shared" si="0"/>
        <v>46108</v>
      </c>
      <c r="C12" s="13" t="s">
        <v>304</v>
      </c>
      <c r="D12" s="14"/>
      <c r="E12" s="14"/>
      <c r="F12" s="25"/>
      <c r="G12" s="25"/>
      <c r="H12" s="25"/>
      <c r="I12" s="25"/>
      <c r="J12" s="25"/>
      <c r="K12" s="25"/>
      <c r="L12" s="25"/>
      <c r="M12" s="25"/>
      <c r="N12" s="25"/>
      <c r="O12" s="25"/>
      <c r="P12" s="25"/>
      <c r="Q12" s="14"/>
    </row>
    <row r="13" spans="1:17">
      <c r="A13" s="15" t="s">
        <v>305</v>
      </c>
      <c r="B13" s="5">
        <f t="shared" ref="B12:B19" si="1">WORKDAY(B12,1)</f>
        <v>46111</v>
      </c>
      <c r="C13" s="16" t="s">
        <v>306</v>
      </c>
      <c r="D13" s="16" t="s">
        <v>307</v>
      </c>
      <c r="E13" s="14"/>
      <c r="F13" s="25"/>
      <c r="G13" s="25"/>
      <c r="H13" s="25"/>
      <c r="I13" s="25"/>
      <c r="J13" s="25"/>
      <c r="K13" s="25"/>
      <c r="L13" s="25"/>
      <c r="M13" s="25"/>
      <c r="N13" s="25"/>
      <c r="O13" s="25"/>
      <c r="P13" s="25"/>
      <c r="Q13" s="14"/>
    </row>
    <row r="14" spans="1:17">
      <c r="A14" s="17"/>
      <c r="B14" s="5">
        <f t="shared" si="1"/>
        <v>46112</v>
      </c>
      <c r="C14" s="14"/>
      <c r="D14" s="16" t="s">
        <v>307</v>
      </c>
      <c r="E14" s="14"/>
      <c r="F14" s="25"/>
      <c r="G14" s="25"/>
      <c r="H14" s="25"/>
      <c r="I14" s="25"/>
      <c r="J14" s="25"/>
      <c r="K14" s="25"/>
      <c r="L14" s="25"/>
      <c r="M14" s="25"/>
      <c r="N14" s="25"/>
      <c r="O14" s="25"/>
      <c r="P14" s="25"/>
      <c r="Q14" s="14"/>
    </row>
    <row r="15" spans="1:17">
      <c r="A15" s="17"/>
      <c r="B15" s="5">
        <f t="shared" si="1"/>
        <v>46113</v>
      </c>
      <c r="C15" s="14"/>
      <c r="D15" s="16" t="s">
        <v>308</v>
      </c>
      <c r="E15" s="16" t="s">
        <v>309</v>
      </c>
      <c r="F15" s="25"/>
      <c r="G15" s="25"/>
      <c r="H15" s="25"/>
      <c r="I15" s="25"/>
      <c r="J15" s="25"/>
      <c r="K15" s="25"/>
      <c r="L15" s="25"/>
      <c r="M15" s="25"/>
      <c r="N15" s="25"/>
      <c r="O15" s="25"/>
      <c r="P15" s="25"/>
      <c r="Q15" s="14"/>
    </row>
    <row r="16" spans="1:17">
      <c r="A16" s="17"/>
      <c r="B16" s="5">
        <f t="shared" si="1"/>
        <v>46114</v>
      </c>
      <c r="C16" s="14"/>
      <c r="D16" s="16" t="s">
        <v>310</v>
      </c>
      <c r="E16" s="16" t="s">
        <v>309</v>
      </c>
      <c r="F16" s="25"/>
      <c r="G16" s="25"/>
      <c r="H16" s="25"/>
      <c r="I16" s="25"/>
      <c r="J16" s="25"/>
      <c r="K16" s="25"/>
      <c r="L16" s="25"/>
      <c r="M16" s="25"/>
      <c r="N16" s="25"/>
      <c r="O16" s="25"/>
      <c r="P16" s="25"/>
      <c r="Q16" s="14"/>
    </row>
    <row r="17" spans="1:17">
      <c r="A17" s="17"/>
      <c r="B17" s="5">
        <f t="shared" si="1"/>
        <v>46115</v>
      </c>
      <c r="C17" s="14"/>
      <c r="D17" s="14"/>
      <c r="E17" s="16" t="s">
        <v>311</v>
      </c>
      <c r="F17" s="25"/>
      <c r="G17" s="25"/>
      <c r="H17" s="25"/>
      <c r="I17" s="25"/>
      <c r="J17" s="25"/>
      <c r="K17" s="25"/>
      <c r="L17" s="25"/>
      <c r="M17" s="25"/>
      <c r="N17" s="25"/>
      <c r="O17" s="25"/>
      <c r="P17" s="25"/>
      <c r="Q17" s="14"/>
    </row>
    <row r="18" ht="33" spans="1:17">
      <c r="A18" s="18" t="s">
        <v>312</v>
      </c>
      <c r="B18" s="5">
        <f t="shared" si="1"/>
        <v>46118</v>
      </c>
      <c r="C18" s="16" t="s">
        <v>313</v>
      </c>
      <c r="D18" s="14"/>
      <c r="E18" s="6" t="s">
        <v>314</v>
      </c>
      <c r="F18" s="25"/>
      <c r="G18" s="25"/>
      <c r="H18" s="25"/>
      <c r="I18" s="25"/>
      <c r="J18" s="25"/>
      <c r="K18" s="25"/>
      <c r="L18" s="25"/>
      <c r="M18" s="25"/>
      <c r="N18" s="25"/>
      <c r="O18" s="25"/>
      <c r="P18" s="25"/>
      <c r="Q18" s="14"/>
    </row>
    <row r="19" ht="36.85" customHeight="1" spans="1:17">
      <c r="A19" s="19"/>
      <c r="B19" s="5">
        <f t="shared" si="1"/>
        <v>46119</v>
      </c>
      <c r="C19" s="18" t="s">
        <v>315</v>
      </c>
      <c r="D19" s="18" t="s">
        <v>315</v>
      </c>
      <c r="E19" s="18" t="s">
        <v>315</v>
      </c>
      <c r="F19" s="25"/>
      <c r="G19" s="25"/>
      <c r="H19" s="25"/>
      <c r="I19" s="25"/>
      <c r="J19" s="25"/>
      <c r="K19" s="25"/>
      <c r="L19" s="25"/>
      <c r="M19" s="25"/>
      <c r="N19" s="25"/>
      <c r="O19" s="25"/>
      <c r="P19" s="25"/>
      <c r="Q19" s="14"/>
    </row>
    <row r="20" ht="36.85" customHeight="1" spans="1:17">
      <c r="A20" s="19"/>
      <c r="B20" s="18" t="s">
        <v>315</v>
      </c>
      <c r="C20" s="18" t="s">
        <v>315</v>
      </c>
      <c r="D20" s="18" t="s">
        <v>315</v>
      </c>
      <c r="E20" s="18" t="s">
        <v>315</v>
      </c>
      <c r="F20" s="27"/>
      <c r="G20" s="27"/>
      <c r="H20" s="27"/>
      <c r="I20" s="27"/>
      <c r="J20" s="27"/>
      <c r="K20" s="27"/>
      <c r="L20" s="27"/>
      <c r="M20" s="27"/>
      <c r="N20" s="27"/>
      <c r="O20" s="27"/>
      <c r="P20" s="27"/>
      <c r="Q20" s="14"/>
    </row>
    <row r="21" spans="6:10">
      <c r="F21" s="28"/>
      <c r="G21" s="28">
        <v>2</v>
      </c>
      <c r="H21" s="28"/>
      <c r="I21" s="28"/>
      <c r="J21" s="28"/>
    </row>
  </sheetData>
  <sheetProtection formatCells="0" insertHyperlinks="0" autoFilter="0"/>
  <mergeCells count="21">
    <mergeCell ref="C1:E1"/>
    <mergeCell ref="A1:A2"/>
    <mergeCell ref="A3:A12"/>
    <mergeCell ref="A13:A17"/>
    <mergeCell ref="A18:A20"/>
    <mergeCell ref="B1:B2"/>
    <mergeCell ref="C6:C11"/>
    <mergeCell ref="D6:D11"/>
    <mergeCell ref="E3:E5"/>
    <mergeCell ref="E6:E11"/>
    <mergeCell ref="F3:F20"/>
    <mergeCell ref="G3:G20"/>
    <mergeCell ref="H3:H20"/>
    <mergeCell ref="I3:I20"/>
    <mergeCell ref="J3:J20"/>
    <mergeCell ref="K3:K20"/>
    <mergeCell ref="L3:L20"/>
    <mergeCell ref="M3:M20"/>
    <mergeCell ref="N3:N20"/>
    <mergeCell ref="O3:O20"/>
    <mergeCell ref="P3:P20"/>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dvExts xmlns="http://www.wps.cn/et/2023/dataValidationExt" xmlns:s="http://schemas.openxmlformats.org/spreadsheetml/2006/main">
  <dvExt uuid="{5543fad6-de82-49ba-b44f-49595aefac6e}">
    <list multiSupport="0" colorSupport="1"/>
  </dvExt>
  <dvExt uuid="{a24475e9-2440-487d-8b60-bcce40f9da1c}">
    <list multiSupport="1" colorSupport="1"/>
  </dvExt>
</dvExts>
</file>

<file path=customXml/item2.xml><?xml version="1.0" encoding="utf-8"?>
<autofilters xmlns="https://web.wps.cn/et/2018/main">
  <sheetItem sheetStid="1">
    <filterData filterID="AKRFnkkUtoTSeyJs:019747">
      <hiddenRange rowFrom="1" rowTo="2"/>
      <hiddenRange rowFrom="4" rowTo="6"/>
      <hiddenRange rowFrom="9" rowTo="13"/>
      <hiddenRange rowFrom="15" rowTo="15"/>
      <hiddenRange rowFrom="17" rowTo="18"/>
      <hiddenRange rowFrom="24" rowTo="25"/>
      <hiddenRange rowFrom="27" rowTo="36"/>
      <hiddenRange rowFrom="38" rowTo="59"/>
    </filterData>
    <filterData filterID="AKRFnkkUtoTSeyJs:019782">
      <hiddenRange rowFrom="1" rowTo="3"/>
      <hiddenRange rowFrom="5" rowTo="5"/>
      <hiddenRange rowFrom="7" rowTo="8"/>
      <hiddenRange rowFrom="12" rowTo="12"/>
      <hiddenRange rowFrom="14" rowTo="15"/>
      <hiddenRange rowFrom="17" rowTo="18"/>
      <hiddenRange rowFrom="21" rowTo="23"/>
      <hiddenRange rowFrom="26" rowTo="31"/>
      <hiddenRange rowFrom="34" rowTo="40"/>
      <hiddenRange rowFrom="42" rowTo="42"/>
      <hiddenRange rowFrom="44" rowTo="59"/>
    </filterData>
    <filterData filterID="AKRFnkkUtoTSeyJs:018372">
      <hiddenRange rowFrom="1" rowTo="5"/>
      <hiddenRange rowFrom="7" rowTo="8"/>
      <hiddenRange rowFrom="12" rowTo="12"/>
      <hiddenRange rowFrom="14" rowTo="15"/>
      <hiddenRange rowFrom="17" rowTo="18"/>
      <hiddenRange rowFrom="21" rowTo="23"/>
      <hiddenRange rowFrom="26" rowTo="32"/>
      <hiddenRange rowFrom="34" rowTo="59"/>
    </filterData>
    <filterData filterID="AKRFnkkUtoTSeyJs:015964">
      <hiddenRange rowFrom="6" rowTo="8"/>
      <hiddenRange rowFrom="11" rowTo="15"/>
      <hiddenRange rowFrom="19" rowTo="19"/>
      <hiddenRange rowFrom="23" rowTo="23"/>
      <hiddenRange rowFrom="25" rowTo="59"/>
    </filterData>
    <filterData filterID="AKRFnkkUtoTSeyJs:022651">
      <hiddenRange rowFrom="2" rowTo="3"/>
      <hiddenRange rowFrom="8" rowTo="8"/>
      <hiddenRange rowFrom="18" rowTo="18"/>
      <hiddenRange rowFrom="27" rowTo="27"/>
      <hiddenRange rowFrom="30" rowTo="31"/>
      <hiddenRange rowFrom="33" rowTo="33"/>
      <hiddenRange rowFrom="36" rowTo="36"/>
      <hiddenRange rowFrom="38" rowTo="59"/>
    </filterData>
    <filterData filterID="AKRFnkkUtoTSeyJs:019040"/>
    <filterData filterID="AKRFnkkUtoTSeyJs:016900">
      <hiddenRange rowFrom="3" rowTo="4"/>
      <hiddenRange rowFrom="6" rowTo="11"/>
      <hiddenRange rowFrom="13" rowTo="16"/>
      <hiddenRange rowFrom="19" rowTo="59"/>
    </filterData>
    <filterData filterID="AKRFnkkUtoTSeyJs:017833">
      <hiddenRange rowFrom="15" rowTo="22"/>
    </filterData>
    <filterData filterID="AKRFnkkUtoTSeyJs:K1101894"/>
    <filterData filterID="AKRFnkkUtoTSeyJs:018896">
      <hiddenRange rowFrom="1" rowTo="2"/>
      <hiddenRange rowFrom="4" rowTo="6"/>
      <hiddenRange rowFrom="9" rowTo="20"/>
      <hiddenRange rowFrom="23" rowTo="25"/>
      <hiddenRange rowFrom="27" rowTo="38"/>
      <hiddenRange rowFrom="40" rowTo="59"/>
    </filterData>
    <filterData filterID="AKRFnkkUtoTSeyJs:019642">
      <hiddenRange rowFrom="1" rowTo="13"/>
      <hiddenRange rowFrom="15" rowTo="15"/>
      <hiddenRange rowFrom="17" rowTo="18"/>
      <hiddenRange rowFrom="24" rowTo="25"/>
      <hiddenRange rowFrom="28" rowTo="33"/>
      <hiddenRange rowFrom="36" rowTo="36"/>
      <hiddenRange rowFrom="38" rowTo="59"/>
    </filterData>
    <filterData filterID="AKRFnkkUtoTSeyJs:024796">
      <hiddenRange rowFrom="1" rowTo="3"/>
      <hiddenRange rowFrom="5" rowTo="5"/>
      <hiddenRange rowFrom="7" rowTo="9"/>
      <hiddenRange rowFrom="12" rowTo="13"/>
      <hiddenRange rowFrom="15" rowTo="15"/>
      <hiddenRange rowFrom="17" rowTo="18"/>
      <hiddenRange rowFrom="25" rowTo="25"/>
      <hiddenRange rowFrom="27" rowTo="31"/>
      <hiddenRange rowFrom="34" rowTo="36"/>
      <hiddenRange rowFrom="38" rowTo="59"/>
    </filterData>
    <filterData filterID="AKRFnkkUtoTSeyJs:017230">
      <hiddenRange rowFrom="1" rowTo="2"/>
      <hiddenRange rowFrom="4" rowTo="6"/>
      <hiddenRange rowFrom="8" rowTo="13"/>
      <hiddenRange rowFrom="15" rowTo="25"/>
      <hiddenRange rowFrom="27" rowTo="38"/>
      <hiddenRange rowFrom="40" rowTo="59"/>
    </filterData>
    <filterData filterID="AKRFnkkUtoTSeyJs:019521"/>
    <filterData filterID="AKRFnkkUtoTSeyJs:017098">
      <hiddenRange rowFrom="1" rowTo="9"/>
      <hiddenRange rowFrom="11" rowTo="12"/>
      <hiddenRange rowFrom="16" rowTo="16"/>
      <hiddenRange rowFrom="21" rowTo="23"/>
      <hiddenRange rowFrom="32" rowTo="36"/>
    </filterData>
    <filterData filterID="AKRFnkkUtoTSeyJs:019908">
      <hiddenRange rowFrom="1" rowTo="20"/>
      <hiddenRange rowFrom="25" rowTo="59"/>
    </filterData>
    <filterData filterID="AKRFnkkUtoTSeyJs:017573">
      <hiddenRange rowFrom="1" rowTo="5"/>
      <hiddenRange rowFrom="8" rowTo="18"/>
      <hiddenRange rowFrom="20" rowTo="22"/>
      <hiddenRange rowFrom="24" rowTo="33"/>
      <hiddenRange rowFrom="35" rowTo="59"/>
    </filterData>
    <filterData filterID="AKRFnkkUtoTSeyJs:012191">
      <hiddenRange rowFrom="1" rowTo="5"/>
      <hiddenRange rowFrom="7" rowTo="8"/>
      <hiddenRange rowFrom="12" rowTo="12"/>
      <hiddenRange rowFrom="14" rowTo="23"/>
      <hiddenRange rowFrom="26" rowTo="32"/>
      <hiddenRange rowFrom="34" rowTo="59"/>
    </filterData>
    <filterData filterID="AKRFnkkUtoTSeyJs:017611">
      <hiddenRange rowFrom="1" rowTo="13"/>
      <hiddenRange rowFrom="15" rowTo="15"/>
      <hiddenRange rowFrom="17" rowTo="18"/>
      <hiddenRange rowFrom="24" rowTo="25"/>
      <hiddenRange rowFrom="27" rowTo="34"/>
      <hiddenRange rowFrom="38" rowTo="59"/>
    </filterData>
    <filterData filterID="AKRFnkkUtoTSeyJs:023824"/>
    <filterData filterID="AKRFnkkUtoTSeyJs:019503"/>
    <filterData filterID="AKRFnkkUtoTSeyJs:005772">
      <hiddenRange rowFrom="30" rowTo="33"/>
      <hiddenRange rowFrom="35" rowTo="36"/>
      <hiddenRange rowFrom="38" rowTo="59"/>
    </filterData>
    <filterData filterID="AKRFnkkUtoTSeyJs:018458"/>
    <filterData filterID="AKRFnkkUtoTSeyJs:019375">
      <hiddenRange rowFrom="1" rowTo="4"/>
      <hiddenRange rowFrom="6" rowTo="6"/>
      <hiddenRange rowFrom="8" rowTo="15"/>
      <hiddenRange rowFrom="20" rowTo="20"/>
      <hiddenRange rowFrom="25" rowTo="59"/>
    </filterData>
    <filterData filterID="AKRFnkkUtoTSeyJs:016516">
      <hiddenRange rowFrom="1" rowTo="1"/>
      <hiddenRange rowFrom="3" rowTo="4"/>
      <hiddenRange rowFrom="21" rowTo="59"/>
    </filterData>
    <filterData filterID="AKRFnkkUtoTSeyJs:020057">
      <hiddenRange rowFrom="1" rowTo="2"/>
      <hiddenRange rowFrom="4" rowTo="6"/>
      <hiddenRange rowFrom="9" rowTo="20"/>
      <hiddenRange rowFrom="23" rowTo="25"/>
      <hiddenRange rowFrom="27" rowTo="38"/>
      <hiddenRange rowFrom="40" rowTo="59"/>
    </filterData>
    <filterData filterID="AKRFnkkUtoTSeyJs:010713">
      <hiddenRange rowFrom="1" rowTo="1"/>
      <hiddenRange rowFrom="6" rowTo="8"/>
      <hiddenRange rowFrom="10" rowTo="15"/>
      <hiddenRange rowFrom="17" rowTo="20"/>
      <hiddenRange rowFrom="23" rowTo="59"/>
    </filterData>
    <filterData filterID="AKRFnkkUtoTSeyJs:018386">
      <hiddenRange rowFrom="6" rowTo="8"/>
      <hiddenRange rowFrom="13" rowTo="13"/>
      <hiddenRange rowFrom="15" rowTo="15"/>
      <hiddenRange rowFrom="17" rowTo="19"/>
      <hiddenRange rowFrom="23" rowTo="59"/>
    </filterData>
    <filterData filterID="AKRFnkkUtoTSeyJs:019227">
      <hiddenRange rowFrom="1" rowTo="13"/>
      <hiddenRange rowFrom="15" rowTo="15"/>
      <hiddenRange rowFrom="17" rowTo="18"/>
      <hiddenRange rowFrom="24" rowTo="25"/>
      <hiddenRange rowFrom="28" rowTo="33"/>
      <hiddenRange rowFrom="35" rowTo="36"/>
      <hiddenRange rowFrom="38" rowTo="59"/>
    </filterData>
    <filterData filterID="AKRFnkkUtoTSeyJs:024868"/>
    <filterData filterID="AKRFnkkUtoTSeyJs:025246"/>
    <filterData filterID="AKRFnkkUtoTSeyJs:017436">
      <hiddenRange rowFrom="6" rowTo="8"/>
      <hiddenRange rowFrom="11" rowTo="15"/>
      <hiddenRange rowFrom="19" rowTo="19"/>
      <hiddenRange rowFrom="23" rowTo="23"/>
      <hiddenRange rowFrom="25" rowTo="59"/>
    </filterData>
    <autofilterInfo filterID="AKRFnkkUtoTSeyJs:016900">
      <autoFilter xmlns="http://schemas.openxmlformats.org/spreadsheetml/2006/main" ref="A1:U60">
        <filterColumn colId="14">
          <customFilters>
            <customFilter operator="equal" val="张弦"/>
          </customFilters>
        </filterColumn>
      </autoFilter>
    </autofilterInfo>
    <autofilterInfo filterID="AKRFnkkUtoTSeyJs:018386">
      <autoFilter xmlns="http://schemas.openxmlformats.org/spreadsheetml/2006/main" ref="A1:U60">
        <filterColumn colId="14">
          <filters>
            <filter val="张弦"/>
            <filter val="戚挺"/>
            <filter val="王轮樟"/>
          </filters>
        </filterColumn>
        <filterColumn colId="18">
          <filters blank="1">
            <filter val="预计0523迭代完成交付"/>
            <filter val="预计0613迭代完成交付"/>
            <filter val="预计0613迭代之后完成交付"/>
          </filters>
        </filterColumn>
      </autoFilter>
    </autofilterInfo>
    <autofilterInfo filterID="AKRFnkkUtoTSeyJs:010713">
      <autoFilter xmlns="http://schemas.openxmlformats.org/spreadsheetml/2006/main" ref="A1:U60">
        <filterColumn colId="14">
          <customFilters>
            <customFilter operator="equal" val="戚挺"/>
          </customFilters>
        </filterColumn>
        <filterColumn colId="17">
          <customFilters>
            <customFilter operator="equal" val="是"/>
          </customFilters>
        </filterColumn>
      </autoFilter>
    </autofilterInfo>
    <autofilterInfo filterID="AKRFnkkUtoTSeyJs:017833">
      <autoFilter xmlns="http://schemas.openxmlformats.org/spreadsheetml/2006/main" ref="A1:U60">
        <filterColumn colId="17">
          <customFilters>
            <customFilter operator="equal" val=""/>
            <customFilter operator="equal" val="是"/>
          </customFilters>
        </filterColumn>
      </autoFilter>
    </autofilterInfo>
    <autofilterInfo filterID="AKRFnkkUtoTSeyJs:018896">
      <autoFilter xmlns="http://schemas.openxmlformats.org/spreadsheetml/2006/main" ref="A1:U60">
        <filterColumn colId="13">
          <customFilters>
            <customFilter operator="equal" val="刘佩金"/>
          </customFilters>
        </filterColumn>
      </autoFilter>
    </autofilterInfo>
    <autofilterInfo filterID="AKRFnkkUtoTSeyJs:019642">
      <autoFilter xmlns="http://schemas.openxmlformats.org/spreadsheetml/2006/main" ref="A1:U60">
        <filterColumn colId="14">
          <customFilters>
            <customFilter operator="equal" val="毕成功"/>
          </customFilters>
        </filterColumn>
      </autoFilter>
    </autofilterInfo>
    <autofilterInfo filterID="AKRFnkkUtoTSeyJs:005772">
      <autoFilter xmlns="http://schemas.openxmlformats.org/spreadsheetml/2006/main" ref="A1:U60">
        <filterColumn colId="0">
          <filters>
            <filter val="香港金控FICC"/>
            <filter val="中央交易室"/>
            <filter val="资金运营部"/>
            <filter val="固定收益部"/>
          </filters>
        </filterColumn>
        <filterColumn colId="14">
          <filters>
            <filter val="陈治平"/>
            <filter val="姚忠兵"/>
            <filter val="张弦"/>
            <filter val="戚挺"/>
            <filter val="张天翼"/>
            <filter val="王轮樟"/>
          </filters>
        </filterColumn>
      </autoFilter>
    </autofilterInfo>
    <autofilterInfo filterID="AKRFnkkUtoTSeyJs:019747">
      <autoFilter xmlns="http://schemas.openxmlformats.org/spreadsheetml/2006/main" ref="A1:U60">
        <filterColumn colId="13">
          <customFilters>
            <customFilter operator="equal" val="刘佩金"/>
          </customFilters>
        </filterColumn>
      </autoFilter>
    </autofilterInfo>
    <autofilterInfo filterID="AKRFnkkUtoTSeyJs:022651">
      <autoFilter xmlns="http://schemas.openxmlformats.org/spreadsheetml/2006/main" ref="A1:U60">
        <filterColumn colId="14">
          <filters>
            <filter val="姚忠兵"/>
            <filter val="张弦"/>
            <filter val="戚挺"/>
            <filter val="王轮樟"/>
          </filters>
        </filterColumn>
      </autoFilter>
    </autofilterInfo>
    <autofilterInfo filterID="AKRFnkkUtoTSeyJs:015964">
      <autoFilter xmlns="http://schemas.openxmlformats.org/spreadsheetml/2006/main" ref="A1:U60">
        <filterColumn colId="14">
          <customFilters>
            <customFilter operator="equal" val="戚挺"/>
            <customFilter operator="equal" val="王轮樟"/>
          </customFilters>
        </filterColumn>
      </autoFilter>
    </autofilterInfo>
    <autofilterInfo filterID="AKRFnkkUtoTSeyJs:020057">
      <autoFilter xmlns="http://schemas.openxmlformats.org/spreadsheetml/2006/main" ref="A1:U60">
        <filterColumn colId="13">
          <customFilters>
            <customFilter operator="equal" val="刘佩金"/>
          </customFilters>
        </filterColumn>
      </autoFilter>
    </autofilterInfo>
    <autofilterInfo filterID="AKRFnkkUtoTSeyJs:019375">
      <autoFilter xmlns="http://schemas.openxmlformats.org/spreadsheetml/2006/main" ref="A1:U60">
        <filterColumn colId="13">
          <customFilters>
            <customFilter operator="equal" val="成楠"/>
            <customFilter operator="equal" val="刘佩金"/>
          </customFilters>
        </filterColumn>
      </autoFilter>
    </autofilterInfo>
    <autofilterInfo filterID="AKRFnkkUtoTSeyJs:016516">
      <autoFilter xmlns="http://schemas.openxmlformats.org/spreadsheetml/2006/main" ref="A1:U60">
        <filterColumn colId="0">
          <customFilters>
            <customFilter operator="equal" val="固定收益部"/>
          </customFilters>
        </filterColumn>
      </autoFilter>
    </autofilterInfo>
    <autofilterInfo filterID="AKRFnkkUtoTSeyJs:019782">
      <autoFilter xmlns="http://schemas.openxmlformats.org/spreadsheetml/2006/main" ref="A1:U60">
        <filterColumn colId="14">
          <customFilters>
            <customFilter operator="equal" val="戚挺"/>
            <customFilter operator="equal" val="王轮樟"/>
          </customFilters>
        </filterColumn>
      </autoFilter>
    </autofilterInfo>
    <autofilterInfo filterID="AKRFnkkUtoTSeyJs:017611">
      <autoFilter xmlns="http://schemas.openxmlformats.org/spreadsheetml/2006/main" ref="A1:U60">
        <filterColumn colId="13">
          <customFilters>
            <customFilter operator="equal" val="姜玉珠"/>
          </customFilters>
        </filterColumn>
      </autoFilter>
    </autofilterInfo>
    <autofilterInfo filterID="AKRFnkkUtoTSeyJs:012191">
      <autoFilter xmlns="http://schemas.openxmlformats.org/spreadsheetml/2006/main" ref="A1:U60">
        <filterColumn colId="14">
          <customFilters>
            <customFilter operator="equal" val="戚挺"/>
          </customFilters>
        </filterColumn>
        <filterColumn colId="17">
          <customFilters>
            <customFilter operator="equal" val="是"/>
          </customFilters>
        </filterColumn>
      </autoFilter>
    </autofilterInfo>
    <autofilterInfo filterID="AKRFnkkUtoTSeyJs:019227">
      <autoFilter xmlns="http://schemas.openxmlformats.org/spreadsheetml/2006/main" ref="A1:U60">
        <filterColumn colId="14">
          <customFilters>
            <customFilter operator="equal" val="毕成功"/>
          </customFilters>
        </filterColumn>
      </autoFilter>
    </autofilterInfo>
    <autofilterInfo filterID="AKRFnkkUtoTSeyJs:019908">
      <autoFilter xmlns="http://schemas.openxmlformats.org/spreadsheetml/2006/main" ref="A1:U60">
        <filterColumn colId="0">
          <customFilters>
            <customFilter operator="equal" val="中央交易室"/>
            <customFilter operator="equal" val="资金运营部"/>
          </customFilters>
        </filterColumn>
      </autoFilter>
    </autofilterInfo>
    <autofilterInfo filterID="AKRFnkkUtoTSeyJs:017573">
      <autoFilter xmlns="http://schemas.openxmlformats.org/spreadsheetml/2006/main" ref="A1:U60">
        <filterColumn colId="14">
          <customFilters>
            <customFilter operator="equal" val="姚忠兵"/>
          </customFilters>
        </filterColumn>
      </autoFilter>
    </autofilterInfo>
    <autofilterInfo filterID="AKRFnkkUtoTSeyJs:017230">
      <autoFilter xmlns="http://schemas.openxmlformats.org/spreadsheetml/2006/main" ref="A1:U60">
        <filterColumn colId="14">
          <filters>
            <filter val="姚忠兵"/>
            <filter val="待定"/>
            <filter val="张天翼"/>
          </filters>
        </filterColumn>
        <filterColumn colId="17">
          <customFilters>
            <customFilter operator="equal" val="是"/>
          </customFilters>
        </filterColumn>
      </autoFilter>
    </autofilterInfo>
    <autofilterInfo filterID="AKRFnkkUtoTSeyJs:024796">
      <autoFilter xmlns="http://schemas.openxmlformats.org/spreadsheetml/2006/main" ref="A1:U60">
        <filterColumn colId="14">
          <customFilters>
            <customFilter operator="equal" val="戚挺"/>
            <customFilter operator="equal" val="王轮樟"/>
          </customFilters>
        </filterColumn>
        <filterColumn colId="17">
          <customFilters>
            <customFilter operator="equal" val="是"/>
          </customFilters>
        </filterColumn>
      </autoFilter>
    </autofilterInfo>
    <autofilterInfo filterID="AKRFnkkUtoTSeyJs:017098">
      <autoFilter xmlns="http://schemas.openxmlformats.org/spreadsheetml/2006/main" ref="A1:U60">
        <filterColumn colId="17">
          <filters blank="1">
            <filter val="否"/>
            <filter val="沟通中"/>
          </filters>
        </filterColumn>
      </autoFilter>
    </autofilterInfo>
    <autofilterInfo filterID="AKRFnkkUtoTSeyJs:017436">
      <autoFilter xmlns="http://schemas.openxmlformats.org/spreadsheetml/2006/main" ref="A1:U60">
        <filterColumn colId="14">
          <customFilters>
            <customFilter operator="equal" val="戚挺"/>
            <customFilter operator="equal" val="王轮樟"/>
          </customFilters>
        </filterColumn>
      </autoFilter>
    </autofilterInfo>
    <autofilterInfo filterID="AKRFnkkUtoTSeyJs:018372">
      <autoFilter xmlns="http://schemas.openxmlformats.org/spreadsheetml/2006/main" ref="A1:U60">
        <filterColumn colId="14">
          <customFilters>
            <customFilter operator="equal" val="戚挺"/>
          </customFilters>
        </filterColumn>
      </autoFilter>
    </autofilterInfo>
  </sheetItem>
  <sheetItem sheetStid="3">
    <filterData filterID="AKRFnkkUtoTSeyJs:019040">
      <hiddenRange rowFrom="2" rowTo="7"/>
      <hiddenRange rowFrom="9" rowTo="15"/>
      <hiddenRange rowFrom="17" rowTo="18"/>
      <hiddenRange rowFrom="20" rowTo="22"/>
      <hiddenRange rowFrom="24" rowTo="27"/>
      <hiddenRange rowFrom="30" rowTo="30"/>
      <hiddenRange rowFrom="32" rowTo="34"/>
      <hiddenRange rowFrom="36" rowTo="36"/>
      <hiddenRange rowFrom="39" rowTo="41"/>
      <hiddenRange rowFrom="43" rowTo="43"/>
      <hiddenRange rowFrom="45" rowTo="68"/>
    </filterData>
    <filterData filterID="AKRFnkkUtoTSeyJs:015964"/>
    <filterData filterID="AKRFnkkUtoTSeyJs:017164"/>
    <filterData filterID="AKRFnkkUtoTSeyJs:K1102051">
      <hiddenRange rowFrom="2" rowTo="4"/>
      <hiddenRange rowFrom="6" rowTo="7"/>
      <hiddenRange rowFrom="9" rowTo="11"/>
      <hiddenRange rowFrom="14" rowTo="14"/>
      <hiddenRange rowFrom="16" rowTo="22"/>
      <hiddenRange rowFrom="24" rowTo="26"/>
      <hiddenRange rowFrom="28" rowTo="41"/>
      <hiddenRange rowFrom="43" rowTo="43"/>
      <hiddenRange rowFrom="45" rowTo="45"/>
      <hiddenRange rowFrom="48" rowTo="68"/>
    </filterData>
    <filterData filterID="AKRFnkkUtoTSeyJs:010713">
      <hiddenRange rowFrom="2" rowTo="4"/>
      <hiddenRange rowFrom="7" rowTo="7"/>
      <hiddenRange rowFrom="9" rowTo="9"/>
      <hiddenRange rowFrom="11" rowTo="14"/>
      <hiddenRange rowFrom="17" rowTo="18"/>
      <hiddenRange rowFrom="20" rowTo="22"/>
      <hiddenRange rowFrom="24" rowTo="30"/>
      <hiddenRange rowFrom="32" rowTo="38"/>
      <hiddenRange rowFrom="40" rowTo="41"/>
      <hiddenRange rowFrom="43" rowTo="43"/>
      <hiddenRange rowFrom="45" rowTo="46"/>
      <hiddenRange rowFrom="48" rowTo="68"/>
    </filterData>
    <filterData filterID="AKRFnkkUtoTSeyJs:020013">
      <hiddenRange rowFrom="2" rowTo="3"/>
      <hiddenRange rowFrom="7" rowTo="7"/>
      <hiddenRange rowFrom="13" rowTo="13"/>
      <hiddenRange rowFrom="18" rowTo="18"/>
      <hiddenRange rowFrom="21" rowTo="22"/>
      <hiddenRange rowFrom="24" rowTo="24"/>
      <hiddenRange rowFrom="26" rowTo="26"/>
      <hiddenRange rowFrom="32" rowTo="32"/>
      <hiddenRange rowFrom="35" rowTo="35"/>
      <hiddenRange rowFrom="37" rowTo="37"/>
      <hiddenRange rowFrom="41" rowTo="41"/>
      <hiddenRange rowFrom="50" rowTo="50"/>
      <hiddenRange rowFrom="52" rowTo="52"/>
      <hiddenRange rowFrom="54" rowTo="54"/>
      <hiddenRange rowFrom="56" rowTo="56"/>
      <hiddenRange rowFrom="58" rowTo="59"/>
    </filterData>
    <filterData filterID="AKRFnkkUtoTSeyJs:017436">
      <hiddenRange rowFrom="2" rowTo="6"/>
      <hiddenRange rowFrom="9" rowTo="10"/>
      <hiddenRange rowFrom="12" rowTo="13"/>
      <hiddenRange rowFrom="20" rowTo="20"/>
      <hiddenRange rowFrom="22" rowTo="22"/>
      <hiddenRange rowFrom="24" rowTo="24"/>
      <hiddenRange rowFrom="27" rowTo="28"/>
      <hiddenRange rowFrom="32" rowTo="34"/>
      <hiddenRange rowFrom="36" rowTo="36"/>
      <hiddenRange rowFrom="40" rowTo="41"/>
      <hiddenRange rowFrom="43" rowTo="43"/>
      <hiddenRange rowFrom="45" rowTo="68"/>
    </filterData>
    <filterData filterID="AKRFnkkUtoTSeyJs:016900">
      <hiddenRange rowFrom="2" rowTo="7"/>
      <hiddenRange rowFrom="9" rowTo="15"/>
      <hiddenRange rowFrom="17" rowTo="18"/>
      <hiddenRange rowFrom="20" rowTo="22"/>
      <hiddenRange rowFrom="24" rowTo="27"/>
      <hiddenRange rowFrom="30" rowTo="30"/>
      <hiddenRange rowFrom="32" rowTo="34"/>
      <hiddenRange rowFrom="36" rowTo="36"/>
      <hiddenRange rowFrom="39" rowTo="41"/>
      <hiddenRange rowFrom="43" rowTo="43"/>
      <hiddenRange rowFrom="45" rowTo="68"/>
    </filterData>
    <filterData filterID="AKRFnkkUtoTSeyJs:012729"/>
    <filterData filterID="AKRFnkkUtoTSeyJs:019769">
      <hiddenRange rowFrom="4" rowTo="4"/>
      <hiddenRange rowFrom="7" rowTo="7"/>
      <hiddenRange rowFrom="9" rowTo="9"/>
      <hiddenRange rowFrom="11" rowTo="11"/>
      <hiddenRange rowFrom="13" rowTo="14"/>
      <hiddenRange rowFrom="17" rowTo="17"/>
      <hiddenRange rowFrom="21" rowTo="22"/>
      <hiddenRange rowFrom="24" rowTo="30"/>
      <hiddenRange rowFrom="32" rowTo="32"/>
      <hiddenRange rowFrom="34" rowTo="38"/>
      <hiddenRange rowFrom="40" rowTo="41"/>
      <hiddenRange rowFrom="43" rowTo="43"/>
      <hiddenRange rowFrom="45" rowTo="51"/>
      <hiddenRange rowFrom="53" rowTo="61"/>
      <hiddenRange rowFrom="64" rowTo="68"/>
    </filterData>
    <filterData filterID="AKRFnkkUtoTSeyJs:016882">
      <hiddenRange rowFrom="2" rowTo="2"/>
      <hiddenRange rowFrom="24" rowTo="24"/>
      <hiddenRange rowFrom="26" rowTo="26"/>
      <hiddenRange rowFrom="32" rowTo="32"/>
      <hiddenRange rowFrom="35" rowTo="35"/>
      <hiddenRange rowFrom="37" rowTo="37"/>
      <hiddenRange rowFrom="41" rowTo="41"/>
      <hiddenRange rowFrom="47" rowTo="47"/>
      <hiddenRange rowFrom="50" rowTo="50"/>
      <hiddenRange rowFrom="52" rowTo="52"/>
    </filterData>
    <filterData filterID="AKRFnkkUtoTSeyJs:018303">
      <hiddenRange rowFrom="2" rowTo="4"/>
      <hiddenRange rowFrom="7" rowTo="7"/>
      <hiddenRange rowFrom="9" rowTo="9"/>
      <hiddenRange rowFrom="11" rowTo="11"/>
      <hiddenRange rowFrom="13" rowTo="14"/>
      <hiddenRange rowFrom="17" rowTo="18"/>
      <hiddenRange rowFrom="20" rowTo="22"/>
      <hiddenRange rowFrom="24" rowTo="26"/>
      <hiddenRange rowFrom="28" rowTo="30"/>
      <hiddenRange rowFrom="32" rowTo="32"/>
      <hiddenRange rowFrom="34" rowTo="34"/>
      <hiddenRange rowFrom="36" rowTo="37"/>
      <hiddenRange rowFrom="40" rowTo="41"/>
      <hiddenRange rowFrom="43" rowTo="43"/>
      <hiddenRange rowFrom="45" rowTo="52"/>
      <hiddenRange rowFrom="54" rowTo="55"/>
      <hiddenRange rowFrom="57" rowTo="57"/>
      <hiddenRange rowFrom="61" rowTo="63"/>
      <hiddenRange rowFrom="66" rowTo="66"/>
    </filterData>
    <filterData filterID="AKRFnkkUtoTSeyJs:019747">
      <hiddenRange rowFrom="2" rowTo="2"/>
      <hiddenRange rowFrom="24" rowTo="24"/>
      <hiddenRange rowFrom="26" rowTo="26"/>
      <hiddenRange rowFrom="29" rowTo="29"/>
      <hiddenRange rowFrom="32" rowTo="32"/>
      <hiddenRange rowFrom="35" rowTo="35"/>
      <hiddenRange rowFrom="37" rowTo="37"/>
      <hiddenRange rowFrom="47" rowTo="47"/>
      <hiddenRange rowFrom="50" rowTo="50"/>
      <hiddenRange rowFrom="52" rowTo="52"/>
      <hiddenRange rowFrom="56" rowTo="56"/>
    </filterData>
    <filterData filterID="AKRFnkkUtoTSeyJs:019375"/>
    <filterData filterID="AKRFnkkUtoTSeyJs:018458">
      <hiddenRange rowFrom="2" rowTo="3"/>
      <hiddenRange rowFrom="7" rowTo="7"/>
      <hiddenRange rowFrom="13" rowTo="13"/>
      <hiddenRange rowFrom="18" rowTo="18"/>
      <hiddenRange rowFrom="21" rowTo="22"/>
      <hiddenRange rowFrom="25" rowTo="26"/>
      <hiddenRange rowFrom="29" rowTo="29"/>
      <hiddenRange rowFrom="35" rowTo="35"/>
      <hiddenRange rowFrom="37" rowTo="37"/>
      <hiddenRange rowFrom="40" rowTo="41"/>
      <hiddenRange rowFrom="43" rowTo="43"/>
      <hiddenRange rowFrom="47" rowTo="47"/>
      <hiddenRange rowFrom="50" rowTo="50"/>
      <hiddenRange rowFrom="52" rowTo="52"/>
      <hiddenRange rowFrom="54" rowTo="54"/>
      <hiddenRange rowFrom="56" rowTo="56"/>
      <hiddenRange rowFrom="58" rowTo="59"/>
    </filterData>
    <filterData filterID="AKRFnkkUtoTSeyJs:025172">
      <hiddenRange rowFrom="2" rowTo="2"/>
      <hiddenRange rowFrom="24" rowTo="24"/>
      <hiddenRange rowFrom="26" rowTo="26"/>
      <hiddenRange rowFrom="32" rowTo="32"/>
      <hiddenRange rowFrom="35" rowTo="35"/>
      <hiddenRange rowFrom="37" rowTo="37"/>
      <hiddenRange rowFrom="41" rowTo="41"/>
      <hiddenRange rowFrom="47" rowTo="47"/>
      <hiddenRange rowFrom="50" rowTo="50"/>
      <hiddenRange rowFrom="52" rowTo="52"/>
    </filterData>
    <filterData filterID="AKRFnkkUtoTSeyJs:019089">
      <hiddenRange rowFrom="2" rowTo="4"/>
      <hiddenRange rowFrom="11" rowTo="11"/>
      <hiddenRange rowFrom="13" rowTo="14"/>
      <hiddenRange rowFrom="17" rowTo="18"/>
      <hiddenRange rowFrom="20" rowTo="21"/>
      <hiddenRange rowFrom="24" rowTo="24"/>
      <hiddenRange rowFrom="26" rowTo="30"/>
      <hiddenRange rowFrom="32" rowTo="32"/>
      <hiddenRange rowFrom="34" rowTo="38"/>
      <hiddenRange rowFrom="41" rowTo="41"/>
      <hiddenRange rowFrom="43" rowTo="43"/>
      <hiddenRange rowFrom="45" rowTo="48"/>
      <hiddenRange rowFrom="52" rowTo="68"/>
    </filterData>
    <filterData filterID="AKRFnkkUtoTSeyJs:020057">
      <hiddenRange rowFrom="2" rowTo="5"/>
      <hiddenRange rowFrom="7" rowTo="22"/>
      <hiddenRange rowFrom="24" rowTo="38"/>
      <hiddenRange rowFrom="45" rowTo="68"/>
    </filterData>
    <filterData filterID="AKRFnkkUtoTSeyJs:018896">
      <hiddenRange rowFrom="2" rowTo="4"/>
      <hiddenRange rowFrom="6" rowTo="11"/>
      <hiddenRange rowFrom="14" rowTo="14"/>
      <hiddenRange rowFrom="16" rowTo="22"/>
      <hiddenRange rowFrom="24" rowTo="26"/>
      <hiddenRange rowFrom="28" rowTo="41"/>
      <hiddenRange rowFrom="43" rowTo="43"/>
      <hiddenRange rowFrom="45" rowTo="45"/>
      <hiddenRange rowFrom="48" rowTo="68"/>
    </filterData>
    <filterData filterID="AKRFnkkUtoTSeyJs:017833">
      <hiddenRange rowFrom="22" rowTo="22"/>
      <hiddenRange rowFrom="25" rowTo="27"/>
      <hiddenRange rowFrom="35" rowTo="35"/>
      <hiddenRange rowFrom="41" rowTo="41"/>
    </filterData>
    <filterData filterID="AKRFnkkUtoTSeyJs:K1101894"/>
    <filterData filterID="AKRFnkkUtoTSeyJs:023824"/>
    <filterData filterID="AKRFnkkUtoTSeyJs:017518"/>
    <filterData filterID="AKRFnkkUtoTSeyJs:019227">
      <hiddenRange rowFrom="2" rowTo="4"/>
      <hiddenRange rowFrom="7" rowTo="7"/>
      <hiddenRange rowFrom="9" rowTo="9"/>
      <hiddenRange rowFrom="11" rowTo="14"/>
      <hiddenRange rowFrom="17" rowTo="18"/>
      <hiddenRange rowFrom="20" rowTo="22"/>
      <hiddenRange rowFrom="24" rowTo="30"/>
      <hiddenRange rowFrom="32" rowTo="34"/>
      <hiddenRange rowFrom="37" rowTo="38"/>
      <hiddenRange rowFrom="40" rowTo="41"/>
      <hiddenRange rowFrom="43" rowTo="43"/>
      <hiddenRange rowFrom="45" rowTo="55"/>
      <hiddenRange rowFrom="57" rowTo="57"/>
      <hiddenRange rowFrom="61" rowTo="63"/>
      <hiddenRange rowFrom="66" rowTo="68"/>
    </filterData>
    <filterData filterID="AKRFnkkUtoTSeyJs:024868"/>
    <filterData filterID="AKRFnkkUtoTSeyJs:019712">
      <hiddenRange rowFrom="2" rowTo="4"/>
      <hiddenRange rowFrom="7" rowTo="7"/>
      <hiddenRange rowFrom="9" rowTo="9"/>
      <hiddenRange rowFrom="11" rowTo="11"/>
      <hiddenRange rowFrom="13" rowTo="14"/>
      <hiddenRange rowFrom="17" rowTo="18"/>
      <hiddenRange rowFrom="20" rowTo="22"/>
      <hiddenRange rowFrom="24" rowTo="30"/>
      <hiddenRange rowFrom="32" rowTo="32"/>
      <hiddenRange rowFrom="34" rowTo="37"/>
      <hiddenRange rowFrom="40" rowTo="41"/>
      <hiddenRange rowFrom="43" rowTo="43"/>
      <hiddenRange rowFrom="45" rowTo="52"/>
      <hiddenRange rowFrom="54" rowTo="55"/>
      <hiddenRange rowFrom="61" rowTo="63"/>
      <hiddenRange rowFrom="65" rowTo="68"/>
    </filterData>
    <filterData filterID="AKRFnkkUtoTSeyJs:019908"/>
    <filterData filterID="AKRFnkkUtoTSeyJs:017573">
      <hiddenRange rowFrom="2" rowTo="4"/>
      <hiddenRange rowFrom="7" rowTo="7"/>
      <hiddenRange rowFrom="9" rowTo="9"/>
      <hiddenRange rowFrom="12" rowTo="14"/>
      <hiddenRange rowFrom="17" rowTo="18"/>
      <hiddenRange rowFrom="20" rowTo="20"/>
      <hiddenRange rowFrom="22" rowTo="22"/>
      <hiddenRange rowFrom="25" rowTo="25"/>
      <hiddenRange rowFrom="27" rowTo="30"/>
      <hiddenRange rowFrom="32" rowTo="38"/>
      <hiddenRange rowFrom="40" rowTo="41"/>
      <hiddenRange rowFrom="43" rowTo="43"/>
      <hiddenRange rowFrom="45" rowTo="68"/>
    </filterData>
    <filterData filterID="AKRFnkkUtoTSeyJs:019521"/>
    <filterData filterID="AKRFnkkUtoTSeyJs:017098">
      <hiddenRange rowFrom="2" rowTo="4"/>
      <hiddenRange rowFrom="9" rowTo="9"/>
      <hiddenRange rowFrom="11" rowTo="11"/>
      <hiddenRange rowFrom="17" rowTo="18"/>
      <hiddenRange rowFrom="21" rowTo="21"/>
      <hiddenRange rowFrom="24" rowTo="28"/>
      <hiddenRange rowFrom="30" rowTo="30"/>
      <hiddenRange rowFrom="35" rowTo="35"/>
      <hiddenRange rowFrom="41" rowTo="41"/>
      <hiddenRange rowFrom="43" rowTo="43"/>
      <hiddenRange rowFrom="50" rowTo="53"/>
      <hiddenRange rowFrom="56" rowTo="65"/>
    </filterData>
    <filterData filterID="AKRFnkkUtoTSeyJs:025407">
      <hiddenRange rowFrom="2" rowTo="4"/>
      <hiddenRange rowFrom="7" rowTo="7"/>
      <hiddenRange rowFrom="9" rowTo="9"/>
      <hiddenRange rowFrom="13" rowTo="14"/>
      <hiddenRange rowFrom="17" rowTo="18"/>
      <hiddenRange rowFrom="20" rowTo="20"/>
      <hiddenRange rowFrom="22" rowTo="22"/>
      <hiddenRange rowFrom="25" rowTo="25"/>
      <hiddenRange rowFrom="29" rowTo="30"/>
      <hiddenRange rowFrom="32" rowTo="32"/>
      <hiddenRange rowFrom="34" rowTo="38"/>
      <hiddenRange rowFrom="40" rowTo="41"/>
      <hiddenRange rowFrom="43" rowTo="43"/>
      <hiddenRange rowFrom="45" rowTo="68"/>
    </filterData>
    <filterData filterID="AKRFnkkUtoTSeyJs:012191">
      <hiddenRange rowFrom="4" rowTo="5"/>
      <hiddenRange rowFrom="7" rowTo="7"/>
      <hiddenRange rowFrom="11" rowTo="19"/>
      <hiddenRange rowFrom="21" rowTo="22"/>
      <hiddenRange rowFrom="24" rowTo="38"/>
      <hiddenRange rowFrom="40" rowTo="41"/>
      <hiddenRange rowFrom="43" rowTo="43"/>
      <hiddenRange rowFrom="45" rowTo="68"/>
    </filterData>
    <filterData filterID="AKRFnkkUtoTSeyJs:019782"/>
    <filterData filterID="AKRFnkkUtoTSeyJs:018386">
      <hiddenRange rowFrom="2" rowTo="5"/>
      <hiddenRange rowFrom="9" rowTo="9"/>
      <hiddenRange rowFrom="11" rowTo="13"/>
      <hiddenRange rowFrom="15" rowTo="16"/>
      <hiddenRange rowFrom="19" rowTo="20"/>
      <hiddenRange rowFrom="22" rowTo="22"/>
      <hiddenRange rowFrom="24" rowTo="24"/>
      <hiddenRange rowFrom="27" rowTo="29"/>
      <hiddenRange rowFrom="31" rowTo="33"/>
      <hiddenRange rowFrom="35" rowTo="41"/>
      <hiddenRange rowFrom="43" rowTo="43"/>
      <hiddenRange rowFrom="45" rowTo="68"/>
    </filterData>
    <filterData filterID="AKRFnkkUtoTSeyJs:018110">
      <hiddenRange rowFrom="2" rowTo="3"/>
      <hiddenRange rowFrom="7" rowTo="11"/>
      <hiddenRange rowFrom="14" rowTo="22"/>
      <hiddenRange rowFrom="24" rowTo="26"/>
      <hiddenRange rowFrom="28" rowTo="41"/>
      <hiddenRange rowFrom="43" rowTo="43"/>
      <hiddenRange rowFrom="45" rowTo="45"/>
      <hiddenRange rowFrom="48" rowTo="68"/>
    </filterData>
    <filterData filterID="AKRFnkkUtoTSeyJs:019503"/>
    <filterData filterID="AKRFnkkUtoTSeyJs:017444">
      <hiddenRange rowFrom="2" rowTo="7"/>
      <hiddenRange rowFrom="9" rowTo="15"/>
      <hiddenRange rowFrom="20" rowTo="23"/>
      <hiddenRange rowFrom="25" rowTo="28"/>
      <hiddenRange rowFrom="30" rowTo="30"/>
      <hiddenRange rowFrom="32" rowTo="35"/>
      <hiddenRange rowFrom="39" rowTo="68"/>
    </filterData>
    <filterData filterID="AKRFnkkUtoTSeyJs:016853"/>
    <autofilterInfo filterID="AKRFnkkUtoTSeyJs:018386">
      <autoFilter xmlns="http://schemas.openxmlformats.org/spreadsheetml/2006/main" ref="A2:X69">
        <filterColumn colId="9">
          <customFilters>
            <customFilter operator="equal" val="交易"/>
          </customFilters>
        </filterColumn>
      </autoFilter>
    </autofilterInfo>
    <autofilterInfo filterID="AKRFnkkUtoTSeyJs:016900">
      <autoFilter xmlns="http://schemas.openxmlformats.org/spreadsheetml/2006/main" ref="A2:X69">
        <filterColumn colId="9">
          <customFilters>
            <customFilter operator="equal" val="数据服务"/>
          </customFilters>
        </filterColumn>
      </autoFilter>
    </autofilterInfo>
    <autofilterInfo filterID="AKRFnkkUtoTSeyJs:017436">
      <autoFilter xmlns="http://schemas.openxmlformats.org/spreadsheetml/2006/main" ref="A2:X69">
        <filterColumn colId="8">
          <customFilters>
            <customFilter operator="equal" val="戚挺"/>
            <customFilter operator="equal" val="王轮樟"/>
          </customFilters>
        </filterColumn>
      </autoFilter>
    </autofilterInfo>
    <autofilterInfo filterID="AKRFnkkUtoTSeyJs:025172">
      <autoFilter xmlns="http://schemas.openxmlformats.org/spreadsheetml/2006/main" ref="A2:X69">
        <filterColumn colId="9">
          <customFilters>
            <customFilter operator="equal" val="估值及风险计量"/>
          </customFilters>
        </filterColumn>
      </autoFilter>
    </autofilterInfo>
    <autofilterInfo filterID="AKRFnkkUtoTSeyJs:018458">
      <autoFilter xmlns="http://schemas.openxmlformats.org/spreadsheetml/2006/main" ref="A2:X69">
        <filterColumn colId="9">
          <customFilters>
            <customFilter operator="equal" val="估值及风险计量"/>
          </customFilters>
        </filterColumn>
      </autoFilter>
    </autofilterInfo>
    <autofilterInfo filterID="AKRFnkkUtoTSeyJs:019769">
      <autoFilter xmlns="http://schemas.openxmlformats.org/spreadsheetml/2006/main" ref="A2:X69">
        <filterColumn colId="11">
          <customFilters>
            <customFilter operator="equal" val="场外对客Web端"/>
            <customFilter operator="equal" val="场外运营端（web）"/>
          </customFilters>
        </filterColumn>
      </autoFilter>
    </autofilterInfo>
    <autofilterInfo filterID="AKRFnkkUtoTSeyJs:018303">
      <autoFilter xmlns="http://schemas.openxmlformats.org/spreadsheetml/2006/main" ref="A2:X69">
        <filterColumn colId="9">
          <customFilters>
            <customFilter operator="equal" val="平台"/>
          </customFilters>
        </filterColumn>
      </autoFilter>
    </autofilterInfo>
    <autofilterInfo filterID="AKRFnkkUtoTSeyJs:016882">
      <autoFilter xmlns="http://schemas.openxmlformats.org/spreadsheetml/2006/main" ref="A2:X69">
        <filterColumn colId="9">
          <customFilters>
            <customFilter operator="equal" val="估值及风险计量"/>
          </customFilters>
        </filterColumn>
      </autoFilter>
    </autofilterInfo>
    <autofilterInfo filterID="AKRFnkkUtoTSeyJs:018896">
      <autoFilter xmlns="http://schemas.openxmlformats.org/spreadsheetml/2006/main" ref="A2:X69">
        <filterColumn colId="10">
          <customFilters>
            <customFilter operator="equal" val="刘佩金"/>
          </customFilters>
        </filterColumn>
      </autoFilter>
    </autofilterInfo>
    <autofilterInfo filterID="AKRFnkkUtoTSeyJs:017833">
      <autoFilter xmlns="http://schemas.openxmlformats.org/spreadsheetml/2006/main" ref="A2:X69">
        <filterColumn colId="19">
          <customFilters>
            <customFilter operator="equal" val=""/>
            <customFilter operator="equal" val="是"/>
          </customFilters>
        </filterColumn>
      </autoFilter>
    </autofilterInfo>
    <autofilterInfo filterID="AKRFnkkUtoTSeyJs:K1102051">
      <autoFilter xmlns="http://schemas.openxmlformats.org/spreadsheetml/2006/main" ref="A2:X69">
        <filterColumn colId="10">
          <customFilters>
            <customFilter operator="equal" val="刘佩金"/>
          </customFilters>
        </filterColumn>
      </autoFilter>
    </autofilterInfo>
    <autofilterInfo filterID="AKRFnkkUtoTSeyJs:020013">
      <autoFilter xmlns="http://schemas.openxmlformats.org/spreadsheetml/2006/main" ref="A2:X69">
        <filterColumn colId="9">
          <customFilters>
            <customFilter operator="equal" val="客需/交易后"/>
          </customFilters>
        </filterColumn>
      </autoFilter>
    </autofilterInfo>
    <autofilterInfo filterID="AKRFnkkUtoTSeyJs:017444">
      <autoFilter xmlns="http://schemas.openxmlformats.org/spreadsheetml/2006/main" ref="A2:X69">
        <filterColumn colId="10">
          <filters>
            <filter val="钱高翔"/>
            <filter val="吴克易琼/钱高翔"/>
            <filter val="吴克易琼/孙玉涵/刘佩金/钱高翔"/>
            <filter val="钱高翔/朱泓飞"/>
          </filters>
        </filterColumn>
      </autoFilter>
    </autofilterInfo>
    <autofilterInfo filterID="AKRFnkkUtoTSeyJs:019089">
      <autoFilter xmlns="http://schemas.openxmlformats.org/spreadsheetml/2006/main" ref="A2:X69">
        <filterColumn colId="10">
          <customFilters>
            <customFilter operator="equal" val="胡于凡"/>
            <customFilter operator="equal" val="胡于凡/刘佩金"/>
          </customFilters>
        </filterColumn>
      </autoFilter>
    </autofilterInfo>
    <autofilterInfo filterID="AKRFnkkUtoTSeyJs:019712">
      <autoFilter xmlns="http://schemas.openxmlformats.org/spreadsheetml/2006/main" ref="A2:X69">
        <filterColumn colId="10">
          <customFilters>
            <customFilter operator="equal" val="姜玉珠"/>
          </customFilters>
        </filterColumn>
      </autoFilter>
    </autofilterInfo>
    <autofilterInfo filterID="AKRFnkkUtoTSeyJs:017573">
      <autoFilter xmlns="http://schemas.openxmlformats.org/spreadsheetml/2006/main" ref="A2:X69">
        <filterColumn colId="9">
          <customFilters>
            <customFilter operator="equal" val="估值及风险计量"/>
          </customFilters>
        </filterColumn>
      </autoFilter>
    </autofilterInfo>
    <autofilterInfo filterID="AKRFnkkUtoTSeyJs:017098">
      <autoFilter xmlns="http://schemas.openxmlformats.org/spreadsheetml/2006/main" ref="A2:X69">
        <filterColumn colId="9">
          <customFilters>
            <customFilter operator="equal" val="交易"/>
          </customFilters>
        </filterColumn>
      </autoFilter>
    </autofilterInfo>
    <autofilterInfo filterID="AKRFnkkUtoTSeyJs:025407">
      <autoFilter xmlns="http://schemas.openxmlformats.org/spreadsheetml/2006/main" ref="A2:X69">
        <filterColumn colId="10">
          <customFilters>
            <customFilter operator="equal" val="刘佩金"/>
            <customFilter operator="equal" val="刘佩金/姜玉珠"/>
          </customFilters>
        </filterColumn>
      </autoFilter>
    </autofilterInfo>
    <autofilterInfo filterID="AKRFnkkUtoTSeyJs:020057">
      <autoFilter xmlns="http://schemas.openxmlformats.org/spreadsheetml/2006/main" ref="A2:X69">
        <filterColumn colId="10">
          <customFilters>
            <customFilter operator="equal" val="姜玉珠"/>
          </customFilters>
        </filterColumn>
      </autoFilter>
    </autofilterInfo>
    <autofilterInfo filterID="AKRFnkkUtoTSeyJs:012191">
      <autoFilter xmlns="http://schemas.openxmlformats.org/spreadsheetml/2006/main" ref="A2:X69">
        <filterColumn colId="8">
          <customFilters>
            <customFilter operator="equal" val="张弦"/>
          </customFilters>
        </filterColumn>
      </autoFilter>
    </autofilterInfo>
    <autofilterInfo filterID="AKRFnkkUtoTSeyJs:019227">
      <autoFilter xmlns="http://schemas.openxmlformats.org/spreadsheetml/2006/main" ref="A2:X69">
        <filterColumn colId="8">
          <customFilters>
            <customFilter operator="equal" val="毕成功"/>
          </customFilters>
        </filterColumn>
      </autoFilter>
    </autofilterInfo>
    <autofilterInfo filterID="AKRFnkkUtoTSeyJs:010713">
      <autoFilter xmlns="http://schemas.openxmlformats.org/spreadsheetml/2006/main" ref="A2:X69">
        <filterColumn colId="8">
          <customFilters>
            <customFilter operator="equal" val="张俊"/>
          </customFilters>
        </filterColumn>
        <filterColumn colId="21">
          <filters blank="1"/>
        </filterColumn>
      </autoFilter>
    </autofilterInfo>
    <autofilterInfo filterID="AKRFnkkUtoTSeyJs:019040">
      <autoFilter xmlns="http://schemas.openxmlformats.org/spreadsheetml/2006/main" ref="A2:X69">
        <filterColumn colId="9">
          <customFilters>
            <customFilter operator="equal" val="数据服务"/>
          </customFilters>
        </filterColumn>
      </autoFilter>
    </autofilterInfo>
    <autofilterInfo filterID="AKRFnkkUtoTSeyJs:018110">
      <autoFilter xmlns="http://schemas.openxmlformats.org/spreadsheetml/2006/main" ref="A2:X69">
        <filterColumn colId="7">
          <customFilters>
            <customFilter operator="equal" val="刘佩金"/>
          </customFilters>
        </filterColumn>
      </autoFilter>
    </autofilterInfo>
    <autofilterInfo filterID="AKRFnkkUtoTSeyJs:019747">
      <autoFilter xmlns="http://schemas.openxmlformats.org/spreadsheetml/2006/main" ref="A2:X69">
        <filterColumn colId="7">
          <customFilters>
            <customFilter operator="equal" val="胡于凡"/>
          </customFilters>
        </filterColumn>
      </autoFilter>
    </autofilterInfo>
  </sheetItem>
</autofilters>
</file>

<file path=customXml/item3.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fileId="" isFilterShared="0" coreConquerUserId="" isAutoUpdatePaused="0" filterType="user" isMergeTasksAutoUpdate="0" isInserPicAsAttachment="0"/>
  </woBookProps>
</woProps>
</file>

<file path=customXml/item4.xml><?xml version="1.0" encoding="utf-8"?>
<pixelators xmlns="https://web.wps.cn/et/2018/main" xmlns:s="http://schemas.openxmlformats.org/spreadsheetml/2006/main">
  <pixelatorList sheetStid="1"/>
  <pixelatorList sheetStid="3"/>
  <pixelatorList sheetStid="4"/>
  <pixelatorList sheetStid="6"/>
  <pixelatorList sheetStid="7"/>
</pixelators>
</file>

<file path=customXml/itemProps1.xml><?xml version="1.0" encoding="utf-8"?>
<ds:datastoreItem xmlns:ds="http://schemas.openxmlformats.org/officeDocument/2006/customXml" ds:itemID="{576a6740-a502-43ae-9f28-c9e454320052}">
  <ds:schemaRefs>
    <ds:schemaRef ds:uri="http://www.wps.cn/et/2023/dataValidationExt"/>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WWO_wpscloud_20240821181913-a0e91bd6bf</Application>
  <HeadingPairs>
    <vt:vector size="2" baseType="variant">
      <vt:variant>
        <vt:lpstr>工作表</vt:lpstr>
      </vt:variant>
      <vt:variant>
        <vt:i4>4</vt:i4>
      </vt:variant>
    </vt:vector>
  </HeadingPairs>
  <TitlesOfParts>
    <vt:vector size="4" baseType="lpstr">
      <vt:lpstr>0523-需求列表</vt:lpstr>
      <vt:lpstr>需求澄清列表</vt:lpstr>
      <vt:lpstr>验收列表</vt:lpstr>
      <vt:lpstr>排期晾晒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021227</dc:creator>
  <cp:lastModifiedBy>021227</cp:lastModifiedBy>
  <dcterms:created xsi:type="dcterms:W3CDTF">2022-10-17T05:43:00Z</dcterms:created>
  <dcterms:modified xsi:type="dcterms:W3CDTF">2022-10-17T05:43:00Z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fileWhereFroms">
    <vt:lpwstr>PpjeLB1gRN0lwrPqMaCTknqufMB8S/fZ+S0rFVOqIAteoNF4Cn0bnoIj/l4R1lk3x60yLW3bonMIZXhW9eOuQSKwwMXkSqioR7IohD7JHiKL1Kex5PfDuKQOg5o6epURpTfP/dk98wL0gSLKiNPuw2I1d5mqizvK0etAnhWygh7/L/uczoU8dnKqZ2n9hMl/08TlSTgT4gsLfsj4N5qnfHg08FCEbzCvQxRYqKX+Awmfx/F0rVpheJ7a4HTSrpXN67XIpXVPIeDYbQQ2fdBVC6+sN8AL6jIHdsTgPljPHzoupvq7zO+vVFSvjwE333D2vhMqKOcTXBPv1JWIgJPy7t4iCeanYFEpfd1EtQ6LaMpz0rXBZklihJ2J8zC+lcBrF9f5EcW58t7Xkx4KXK9I1v9/uRCiwO5/P/JQLPgIZSBx1z3GgwYeretRiuxFZP2IZHkssTmcOgAlQS0yImksZg==</vt:lpwstr>
  </property>
</Properties>
</file>