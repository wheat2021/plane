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65" activeTab="2"/>
  </bookViews>
  <sheets>
    <sheet name="0307-需求列表" sheetId="1" r:id="rId1"/>
    <sheet name="需求澄清列表" sheetId="3" r:id="rId2"/>
    <sheet name="验收列表" sheetId="4" r:id="rId3"/>
    <sheet name="排期晾晒" sheetId="6" r:id="rId4"/>
  </sheets>
  <definedNames>
    <definedName name="_xlnm._FilterDatabase" localSheetId="0" hidden="1">'0307-需求列表'!$A$1:$T$74</definedName>
    <definedName name="_xlnm._FilterDatabase" localSheetId="1" hidden="1">需求澄清列表!$A$2:$X$76</definedName>
    <definedName name="_xlnm._FilterDatabase" localSheetId="2" hidden="1">验收列表!$A$3:$P$36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<sst xmlns="http://schemas.openxmlformats.org/spreadsheetml/2006/main" count="1823" uniqueCount="696">
  <si>
    <t>所属部门</t>
  </si>
  <si>
    <t>需求编号</t>
  </si>
  <si>
    <t>需求名</t>
  </si>
  <si>
    <t>需求描述</t>
  </si>
  <si>
    <t>境内/外类别</t>
  </si>
  <si>
    <t>一级分类
(品种分类)</t>
  </si>
  <si>
    <t>二级分类
（品种子类型）</t>
  </si>
  <si>
    <t>三级分类(模块)</t>
  </si>
  <si>
    <t>所属中心</t>
  </si>
  <si>
    <t>所属团队</t>
  </si>
  <si>
    <t>需求提出人</t>
  </si>
  <si>
    <t>固收产品经理</t>
  </si>
  <si>
    <t>优先级</t>
  </si>
  <si>
    <t>IT产品经理
（牵头）</t>
  </si>
  <si>
    <t>IT技术负责人
（牵头）</t>
  </si>
  <si>
    <t>需求是否准入</t>
  </si>
  <si>
    <t>是否纳入交付</t>
  </si>
  <si>
    <t>预估迭代</t>
  </si>
  <si>
    <t>当前迭代交付内容</t>
  </si>
  <si>
    <t>备注</t>
  </si>
  <si>
    <t>香港金控FICC</t>
  </si>
  <si>
    <t>FICCHEADS-1180</t>
  </si>
  <si>
    <t>港交所外汇期货做市交易系统建设需求说明书</t>
  </si>
  <si>
    <t>境外</t>
  </si>
  <si>
    <t>外汇</t>
  </si>
  <si>
    <t>外汇期货</t>
  </si>
  <si>
    <t>交易链路</t>
  </si>
  <si>
    <t>做市业务中心</t>
  </si>
  <si>
    <t>外汇做市台</t>
  </si>
  <si>
    <t>韩克雄</t>
  </si>
  <si>
    <t>赵鸿达</t>
  </si>
  <si>
    <t>在研-优先级0</t>
  </si>
  <si>
    <t>吴克易琼</t>
  </si>
  <si>
    <t>王轮樟</t>
  </si>
  <si>
    <t>是</t>
  </si>
  <si>
    <t>预计2个迭代完成交付</t>
  </si>
  <si>
    <t>完成易盛柜台行情数据对接、后台服务适配性改造，做市交易链路境外部署整体在3月底交付，当前迭代不涉及业务验收。</t>
  </si>
  <si>
    <r>
      <rPr>
        <sz val="11"/>
        <color rgb="FF000000"/>
        <rFont val="微软雅黑"/>
        <charset val="134"/>
      </rPr>
      <t xml:space="preserve">预计3月底前完成易盛柜台行情对接与做市链路的境外部署
</t>
    </r>
    <r>
      <rPr>
        <sz val="11"/>
        <color rgb="FFFF0000"/>
        <rFont val="微软雅黑"/>
        <charset val="134"/>
      </rPr>
      <t>技术负责人在【1-7日】已确认</t>
    </r>
  </si>
  <si>
    <t>FICCHEADS-1167</t>
  </si>
  <si>
    <t>TARF平台建设</t>
  </si>
  <si>
    <t>场外衍生品</t>
  </si>
  <si>
    <t>TARF</t>
  </si>
  <si>
    <t>交易簿记</t>
  </si>
  <si>
    <t>代客业务中心</t>
  </si>
  <si>
    <t>外汇产品团队</t>
  </si>
  <si>
    <t>Spencer</t>
  </si>
  <si>
    <t>陈思宇</t>
  </si>
  <si>
    <t>刘佩金</t>
  </si>
  <si>
    <t>张天翼</t>
  </si>
  <si>
    <t>预计3个以上迭代完成交付</t>
  </si>
  <si>
    <t>完成合约清算相关的合约事件、资金流水、FX Spot等的编辑与查看</t>
  </si>
  <si>
    <t>技术负责人在【1-8日】已确认</t>
  </si>
  <si>
    <t>FICCHEADS-1089</t>
  </si>
  <si>
    <t>港交所国债期货做市需求</t>
  </si>
  <si>
    <t>武晨宇</t>
  </si>
  <si>
    <t>陈治平</t>
  </si>
  <si>
    <t>否</t>
  </si>
  <si>
    <t>本迭代无法启动后续重新排期</t>
  </si>
  <si>
    <t>【不纳入说明】：因交易所业务暂未开展，暂不启动开发</t>
  </si>
  <si>
    <t>BRD已补充澄清。预占位需求，无明确交付任务</t>
  </si>
  <si>
    <t>固定收益部</t>
  </si>
  <si>
    <t>FICCHEADS-1097</t>
  </si>
  <si>
    <t>境外债自营风控优化需求</t>
  </si>
  <si>
    <t>境内</t>
  </si>
  <si>
    <t>债券</t>
  </si>
  <si>
    <t>南向通债券</t>
  </si>
  <si>
    <t>交易风控</t>
  </si>
  <si>
    <t>风险合规中心</t>
  </si>
  <si>
    <t>风险管理团队</t>
  </si>
  <si>
    <t>陈文婕</t>
  </si>
  <si>
    <t>许可</t>
  </si>
  <si>
    <t>戚挺</t>
  </si>
  <si>
    <t>支持南向通、总收益互换、境外债汇总相关指标：总规模、DV01、久期的日终授权监控展示</t>
  </si>
  <si>
    <r>
      <rPr>
        <sz val="11"/>
        <color rgb="FFFF0000"/>
        <rFont val="微软雅黑"/>
        <charset val="134"/>
      </rPr>
      <t xml:space="preserve">技术负责人在【1-5日】已确认
</t>
    </r>
    <r>
      <rPr>
        <sz val="11"/>
        <color rgb="FF000000"/>
        <rFont val="微软雅黑"/>
        <charset val="134"/>
      </rPr>
      <t>原计划0307完成，现延期至0328</t>
    </r>
  </si>
  <si>
    <t>FICCHEADS-1082</t>
  </si>
  <si>
    <t>增加财富管理部私行中心客户准入流程</t>
  </si>
  <si>
    <t>综合</t>
  </si>
  <si>
    <t>销售业务</t>
  </si>
  <si>
    <t>数据报送</t>
  </si>
  <si>
    <t>销售业务中心</t>
  </si>
  <si>
    <t>代客销售团队</t>
  </si>
  <si>
    <t>赵翰卿</t>
  </si>
  <si>
    <t>吴凡</t>
  </si>
  <si>
    <t>胡于凡</t>
  </si>
  <si>
    <t>张弦</t>
  </si>
  <si>
    <t>支持财富管理部私行中心发起客户准入流程</t>
  </si>
  <si>
    <t>技术负责人在【12-30日】已确认，交付节奏可能受OB联调进度影响</t>
  </si>
  <si>
    <t>FICCHEADS-1136</t>
  </si>
  <si>
    <t>其他债权投资和持有至到期损益计算逻辑优化</t>
  </si>
  <si>
    <t>风险管理</t>
  </si>
  <si>
    <t>业务报表</t>
  </si>
  <si>
    <t>江宣辰</t>
  </si>
  <si>
    <t>姚忠兵</t>
  </si>
  <si>
    <t>预计当前迭代完成交付</t>
  </si>
  <si>
    <t>完成摊余成本计量和相关中下游适配</t>
  </si>
  <si>
    <t>技术负责人在【12-29日】已确认</t>
  </si>
  <si>
    <t>FICCHEADS-1000</t>
  </si>
  <si>
    <t>场外衍生品平台客户白名单新增产品规模校验提醒及CUBE平台同步需求</t>
  </si>
  <si>
    <t>从销售平台同步的客户白名单中的产品客户，同步客户的产品规模信息，实时展示并提示风险。对于白名单客户信息，支持销售平台同步至CUBE平台。</t>
  </si>
  <si>
    <t>销售管理</t>
  </si>
  <si>
    <t>销售业务中心优先级1</t>
  </si>
  <si>
    <t>1.增加预付金余额超出产品规模的铃客提醒
2. 同步白名单客户列表到Cube平台</t>
  </si>
  <si>
    <t>FICCHEADS-1110</t>
  </si>
  <si>
    <t>OCI账户持仓减值计算方案调整需求说明书</t>
  </si>
  <si>
    <t>对以摊余成本计量的债券、以公允价值计量且其变动计入其他综合收益的债券的减值计算方法进行调整。</t>
  </si>
  <si>
    <t>账户管理</t>
  </si>
  <si>
    <t>自营业务中心</t>
  </si>
  <si>
    <t>自营交易五台</t>
  </si>
  <si>
    <t>自营业务中心优先级1</t>
  </si>
  <si>
    <t>曾慧聪</t>
  </si>
  <si>
    <t>【不纳入说明】：部分需求问题仍在沟通中，可行性尚待评估。</t>
  </si>
  <si>
    <r>
      <rPr>
        <sz val="11"/>
        <color rgb="FF000000"/>
        <rFont val="微软雅黑"/>
        <charset val="134"/>
      </rPr>
      <t xml:space="preserve">BRD已补充澄清，达到准入标准
</t>
    </r>
    <r>
      <rPr>
        <sz val="11"/>
        <color rgb="FFFF0000"/>
        <rFont val="微软雅黑"/>
        <charset val="134"/>
      </rPr>
      <t>待业务确认需求所依赖的关键数据是否可获得</t>
    </r>
  </si>
  <si>
    <t>FICCHEADS-1168</t>
  </si>
  <si>
    <t>金控FICC美国国债自动化交易链路业务需求二期（XOR：大象报到彭博后无需交易员确认直接对外报单）</t>
  </si>
  <si>
    <t>实现自营中心美国国债交易链路建设，通过彭博XOR模块，实现大象报到彭博后无需交易员确认直接对外报单。</t>
  </si>
  <si>
    <t>美国国债</t>
  </si>
  <si>
    <t>中央交易台/香港交易一台</t>
  </si>
  <si>
    <t>沙学府</t>
  </si>
  <si>
    <t>自营业务中心优先级2</t>
  </si>
  <si>
    <t>孙玉涵</t>
  </si>
  <si>
    <t>对接彭博 XOR模块，实现订单自动流转。</t>
  </si>
  <si>
    <r>
      <rPr>
        <sz val="11"/>
        <color rgb="FF000000"/>
        <rFont val="微软雅黑"/>
        <charset val="134"/>
      </rPr>
      <t xml:space="preserve">已与业务沟通，商务流程需要在1月19日之前完成才能在0307启动研发。
</t>
    </r>
    <r>
      <rPr>
        <sz val="11"/>
        <color rgb="FFFF0000"/>
        <rFont val="微软雅黑"/>
        <charset val="134"/>
      </rPr>
      <t>技术负责人在【1-6日】已确认</t>
    </r>
  </si>
  <si>
    <t>FICCHEADS-1175</t>
  </si>
  <si>
    <t>股指期货预埋触发单功能（重提）</t>
  </si>
  <si>
    <t>大象支持时间条件、价格条件等智能条件算法</t>
  </si>
  <si>
    <t>期货</t>
  </si>
  <si>
    <t>股指期货</t>
  </si>
  <si>
    <t>自营交易七台</t>
  </si>
  <si>
    <t>自营业务中心优先级3</t>
  </si>
  <si>
    <t>钱高翔</t>
  </si>
  <si>
    <t>【不纳入说明】：本迭代工作量饱和，无法纳入更多需求</t>
  </si>
  <si>
    <r>
      <rPr>
        <sz val="11"/>
        <color rgb="FF000000"/>
        <rFont val="微软雅黑"/>
        <charset val="134"/>
      </rPr>
      <t xml:space="preserve">方案待确认
</t>
    </r>
    <r>
      <rPr>
        <sz val="11"/>
        <color rgb="FFFF0000"/>
        <rFont val="微软雅黑"/>
        <charset val="134"/>
      </rPr>
      <t>IT内部技术框架优化，业务相关需求后续排期</t>
    </r>
  </si>
  <si>
    <t>FICCHEADS-1171</t>
  </si>
  <si>
    <t>数据需求-同步trace数据到研发网</t>
  </si>
  <si>
    <t>本需求为纯数据类需求。因境外投研需求，需要使用trace数据进行境外债成交分析，因此需同步trace数据到研发网，该分析会在研发网环境进行。</t>
  </si>
  <si>
    <t>境外信用债债</t>
  </si>
  <si>
    <t>数据接入</t>
  </si>
  <si>
    <t>自营交易四台</t>
  </si>
  <si>
    <t>王逸</t>
  </si>
  <si>
    <t>自营业务中心优先级4</t>
  </si>
  <si>
    <t>完成Trace美国信用债逐笔成交行情接入，协助研发台完成KDB数据落库</t>
  </si>
  <si>
    <r>
      <rPr>
        <sz val="11"/>
        <color rgb="FF000000"/>
        <rFont val="微软雅黑"/>
        <charset val="134"/>
      </rPr>
      <t xml:space="preserve">IT侧进行数据是否准确接入测试；业务在大象SIT环境验收策略能否在测试环境准确调用数据。
</t>
    </r>
    <r>
      <rPr>
        <sz val="11"/>
        <color rgb="FFFF0000"/>
        <rFont val="微软雅黑"/>
        <charset val="134"/>
      </rPr>
      <t>技术负责人在【12-29日】反馈我们为配合方，排期依赖固收</t>
    </r>
  </si>
  <si>
    <t>FICCHEADS-1147</t>
  </si>
  <si>
    <t>港交所外汇期货实时行情落库与订阅需求</t>
  </si>
  <si>
    <t>大象接入港交所外汇期货实时行情并落库，支持策略查询</t>
  </si>
  <si>
    <t>做市业务中心优先级1</t>
  </si>
  <si>
    <t>完成港交所外汇期货-路孚特行情源USDCNH期货的行情接入，别协助研发台完成KDB数据落库</t>
  </si>
  <si>
    <r>
      <rPr>
        <sz val="11"/>
        <color rgb="FF000000"/>
        <rFont val="微软雅黑"/>
        <charset val="134"/>
      </rPr>
      <t xml:space="preserve">IT侧进行数据是否准确接入测试；业务在大象SIT环境验收策略能否在测试环境准确调用数据
</t>
    </r>
    <r>
      <rPr>
        <sz val="11"/>
        <color rgb="FFFF0000"/>
        <rFont val="微软雅黑"/>
        <charset val="134"/>
      </rPr>
      <t>技术负责人在【12-29日】已确认</t>
    </r>
  </si>
  <si>
    <t>FICCHEADS-1099</t>
  </si>
  <si>
    <t>iDeal机器人自动下单功能(新增支持平安利顺）</t>
  </si>
  <si>
    <t>实现直连货币中介iDeal机器人的债券自动下单成交。
此需求为新增对接直连货币中介平安理顺的机器人。</t>
  </si>
  <si>
    <t>银行间债券</t>
  </si>
  <si>
    <t>直连经纪商债券交易</t>
  </si>
  <si>
    <t>本币做市台</t>
  </si>
  <si>
    <t>韩玲</t>
  </si>
  <si>
    <t>做市业务中心优先级2</t>
  </si>
  <si>
    <t>完成平安利顺成交回执接口对接</t>
  </si>
  <si>
    <t>技术负责人在【1-6日】已确认</t>
  </si>
  <si>
    <t>FICCHEADS-1140</t>
  </si>
  <si>
    <t>债券ETF业务系统需求说明书（二期）：二级交易</t>
  </si>
  <si>
    <t>实现债券ETF交易链路建设中二级交易功能。</t>
  </si>
  <si>
    <t>基金</t>
  </si>
  <si>
    <t>债券ETF</t>
  </si>
  <si>
    <t>债券ETF交易</t>
  </si>
  <si>
    <t>做市业务中心优先级3</t>
  </si>
  <si>
    <t>【不纳入说明】：本迭代工作量饱和，无法纳入更多需求。</t>
  </si>
  <si>
    <t>BRD已补充澄清，达到准入标准</t>
  </si>
  <si>
    <t>FICCHEADS-1159</t>
  </si>
  <si>
    <t>【外部采购】衡泰系统-债券远期业务管理模块</t>
  </si>
  <si>
    <t>该需求为采购外部系统的需求，需要技术部承接采购，但不占或占用很少研发资源</t>
  </si>
  <si>
    <t>债券远期</t>
  </si>
  <si>
    <t>流动性管理中心</t>
  </si>
  <si>
    <t>-</t>
  </si>
  <si>
    <t>流动性管理中心优先级1</t>
  </si>
  <si>
    <t>成楠</t>
  </si>
  <si>
    <t>协助衡泰完成模块交付</t>
  </si>
  <si>
    <t>据衡泰反馈1月24上线债券远期模块</t>
  </si>
  <si>
    <t>FICCHEADS-955</t>
  </si>
  <si>
    <t>票据业务持仓占用规则调整</t>
  </si>
  <si>
    <t>将票据业务持仓额度占用纳入固收常规限额体系内。</t>
  </si>
  <si>
    <t>票据</t>
  </si>
  <si>
    <t>自营交易</t>
  </si>
  <si>
    <t>流动性管理中心优先级2</t>
  </si>
  <si>
    <t>BRD已补充澄清，达到准入标准
与风控研发资源冲突，优先处理优先为0需求</t>
  </si>
  <si>
    <t>FICCHEADS-631</t>
  </si>
  <si>
    <t>资金流管理模块-每日银行间资金头寸自动计算功能需求</t>
  </si>
  <si>
    <t>监控银行间因债券交易、回购交易、资金调拨等带来的资金头寸变化：
1）交易口径
2）结算口径</t>
  </si>
  <si>
    <t>流动性管理</t>
  </si>
  <si>
    <t>资金管理</t>
  </si>
  <si>
    <t>流动性管理中心优先级3</t>
  </si>
  <si>
    <t>FICCHEADS-458</t>
  </si>
  <si>
    <t>大象平台自动化选券功能需求</t>
  </si>
  <si>
    <t>1）资金交易员导入交易要素后，由中央券池按一定算法规则进行回购交易和质押券的最优匹配。
2）支持用户对中央券池的匹配结果进行自定义优化，经系统校验完毕后即可经交易中心上行接口发单。</t>
  </si>
  <si>
    <t>回购</t>
  </si>
  <si>
    <t>银行间正回购</t>
  </si>
  <si>
    <t>内部交易</t>
  </si>
  <si>
    <t>流动性管理中心优先级4</t>
  </si>
  <si>
    <t>FICCHEADS-1148</t>
  </si>
  <si>
    <t>统一授信报表逻辑优化需求</t>
  </si>
  <si>
    <t>根据监管要求，对场外期权的统一授信报表进行指标计算逻辑和客户信息匹配优化</t>
  </si>
  <si>
    <t>场外收益互换</t>
  </si>
  <si>
    <t>场外</t>
  </si>
  <si>
    <t>褚悦珊</t>
  </si>
  <si>
    <t>代客业务中心优先级1</t>
  </si>
  <si>
    <t>夏清</t>
  </si>
  <si>
    <t>1、Add-on计算逻辑调整
2、RC计算逻辑补充
3、客户匹配逻辑优化
4、计算结果异常原因补充</t>
  </si>
  <si>
    <t>技术负责人在【1-7日】已确认</t>
  </si>
  <si>
    <t>FICCHEADS-1124</t>
  </si>
  <si>
    <t>境外债TRS付息/资金流水自动生成</t>
  </si>
  <si>
    <t>支持境外债TRS（包括中资美元债、点心债等）自动生成债券付息资金流水与交易流水，具体包括：
1）合约簿记增加派息规则等字段
2）自动生成付息要素
3）生成付息交易流水
4）生成资金流水</t>
  </si>
  <si>
    <t>互换</t>
  </si>
  <si>
    <t>代客业务中心优先级2</t>
  </si>
  <si>
    <t>预计3个迭代完成交付</t>
  </si>
  <si>
    <t>境外债cash flow上游数据对接</t>
  </si>
  <si>
    <t>FICCHEADS-873</t>
  </si>
  <si>
    <t>IRS交易支持对接xswap实现线上对冲</t>
  </si>
  <si>
    <t>目前场外衍生品平台TRS的IRS品种对客交易，客户主要是通过线下与我们达成交易，交易效率低，后续通过大象平台TRS对冲端直连X-Swap平台，客户可以直接线上看到X-Swap价格（加点）进行成交，能大幅提升交易量。目前TRS支持债券通过X-Bond的成交模式。</t>
  </si>
  <si>
    <t>代客业务中心优先级3</t>
  </si>
  <si>
    <t>完成技术方案确认</t>
  </si>
  <si>
    <t>FICCHEADS-1127</t>
  </si>
  <si>
    <t>境外债券支持配置汇率敞口算法</t>
  </si>
  <si>
    <t>支持境外债券合约的汇率敞口的灵活配置和计算，满足客户对于汇率浮动所导致的本金损益精细化管理的诉求</t>
  </si>
  <si>
    <t>代客业务中心优先级4</t>
  </si>
  <si>
    <t>支持境外债券非累计结转模式汇率敞口计算</t>
  </si>
  <si>
    <t>FICCHEADS-931</t>
  </si>
  <si>
    <t>金交所/银行间 即远掉询价交易风控相关需求</t>
  </si>
  <si>
    <t>为丰富客需衍生品业务对冲渠道的多样性，交易台提出支持黄金即远掉交易需求。相应地，风险管理方面提出配套风险管理以及风险分析需求以支持该业务开展，包括：                     
1）相关授权与权限功能；           
2）场外衍生品估值敞口监控界面以及损益监控有关功能开发及改造。</t>
  </si>
  <si>
    <t>贵金属</t>
  </si>
  <si>
    <t>黄金</t>
  </si>
  <si>
    <t>风险合规中心优先级1</t>
  </si>
  <si>
    <t>与风控研发资源冲突，优先处理优先为0需求</t>
  </si>
  <si>
    <t>FICCHEADS-102</t>
  </si>
  <si>
    <t>接入报价回购、收益凭证业务的数据并进行风险计量及量化分析</t>
  </si>
  <si>
    <t xml:space="preserve">在大象风险管理工作站，增加【融资类产品业务监控面板】，包括：报价回购、收益凭证等，展示其业务开展现状、风控指标等。
</t>
  </si>
  <si>
    <t>指标计算</t>
  </si>
  <si>
    <t>风险合规中心优先级2</t>
  </si>
  <si>
    <t>预计提前完成（早于0307版本）</t>
  </si>
  <si>
    <t>【不纳入说明】：可早于0307完成，无需纳入0307迭代</t>
  </si>
  <si>
    <r>
      <rPr>
        <sz val="11"/>
        <color rgb="FF000000"/>
        <rFont val="微软雅黑"/>
        <charset val="134"/>
      </rPr>
      <t xml:space="preserve">BRD已补充澄清，达到准入标准
</t>
    </r>
    <r>
      <rPr>
        <sz val="11"/>
        <color rgb="FFFF0000"/>
        <rFont val="微软雅黑"/>
        <charset val="134"/>
      </rPr>
      <t>技术负责人在【12-29日】已确认</t>
    </r>
  </si>
  <si>
    <t>FICCHEADS-812</t>
  </si>
  <si>
    <t>监管报表-现券和回购偏离度报表完善需求V2</t>
  </si>
  <si>
    <t>对监管报表中，细分的“现券和回购偏离度报表”进行有关完善。</t>
  </si>
  <si>
    <t>风险合规中心优先级3</t>
  </si>
  <si>
    <t>需求文档中第4条内容</t>
  </si>
  <si>
    <r>
      <rPr>
        <sz val="11"/>
        <color rgb="FF000000"/>
        <rFont val="微软雅黑"/>
        <charset val="134"/>
      </rPr>
      <t xml:space="preserve">第5条需求依赖其他需求，目前无法排期
</t>
    </r>
    <r>
      <rPr>
        <sz val="11"/>
        <color rgb="FFFF0000"/>
        <rFont val="微软雅黑"/>
        <charset val="134"/>
      </rPr>
      <t>技术负责人在【12-29日】已确认</t>
    </r>
  </si>
  <si>
    <t>FICCHEADS-147</t>
  </si>
  <si>
    <t>大象信用债持仓功能模块的开发需求</t>
  </si>
  <si>
    <t>信用债持仓功能（持仓整体分析）是构建系统性、全方位的大象持仓监控体系的核心功能，通过大象系统与CAMS平台的深度联动，可以实现用户实时跟踪账户变动、舆情预警等投资管理需求。
主要包括：持仓展示、持仓明细及持仓管理工具</t>
  </si>
  <si>
    <t>信用风险</t>
  </si>
  <si>
    <t>风险合规中心优先级4</t>
  </si>
  <si>
    <t>FICCHEADS-326</t>
  </si>
  <si>
    <t>衡泰系统增加跨市场债券品种的交易所代码资讯信息</t>
  </si>
  <si>
    <t>目前在衡泰簿记跨市场转托管业务时，缺少债券品种的交易所代码资讯，需手工维护。此需求为增加衡泰系统中跨市场债券品种的交易所市场代码资讯信息。（该需求为采购外部系统的需求，需要技术部承接采购，但不占或占用很少研发资源。）</t>
  </si>
  <si>
    <t>平台优化</t>
  </si>
  <si>
    <t>风险合规中心优先级5</t>
  </si>
  <si>
    <t>待与外部厂商评估方案可行性</t>
  </si>
  <si>
    <t>中央交易室</t>
  </si>
  <si>
    <t>IT需求申请央20251028572539</t>
  </si>
  <si>
    <t>中央交易室固定收益类交易执行自动化需求</t>
  </si>
  <si>
    <t>张语蕙</t>
  </si>
  <si>
    <t>中央交易室优先级1</t>
  </si>
  <si>
    <t>技术负责人在【1-5日】已确认</t>
  </si>
  <si>
    <t>资金运营部</t>
  </si>
  <si>
    <t>FICCREQ-433</t>
  </si>
  <si>
    <t>x-repo功能权限开放</t>
  </si>
  <si>
    <t>金艺峰</t>
  </si>
  <si>
    <t>资运部优先级1</t>
  </si>
  <si>
    <t>完成风控规则开发</t>
  </si>
  <si>
    <t>FICCREQ-434</t>
  </si>
  <si>
    <t>信用拆借、回购审批模板迁移至BPM</t>
  </si>
  <si>
    <t>王琰</t>
  </si>
  <si>
    <t>资运部优先级2</t>
  </si>
  <si>
    <t>FICCREQ-402</t>
  </si>
  <si>
    <t>交易对手三级授信风控</t>
  </si>
  <si>
    <t>冯翔欣</t>
  </si>
  <si>
    <t>资运部优先级3</t>
  </si>
  <si>
    <t>分割行，此行下方为内生性需求（含产品优化和技术内生）</t>
  </si>
  <si>
    <t>信息技术部</t>
  </si>
  <si>
    <t>改造对接统一产品库债券的静态数据</t>
  </si>
  <si>
    <t>钱高翔/朱泓飞</t>
  </si>
  <si>
    <t>场外期权入池场景技术优化</t>
  </si>
  <si>
    <t>境外债券ISIN码维护设置优化</t>
  </si>
  <si>
    <t>FICC-90347</t>
  </si>
  <si>
    <t>固收月度授权流程迁移</t>
  </si>
  <si>
    <t>姜玉珠</t>
  </si>
  <si>
    <t>毕成功</t>
  </si>
  <si>
    <t>FICC-90379</t>
  </si>
  <si>
    <t>衡泰资金头寸数据补充外币数据铃客提醒</t>
  </si>
  <si>
    <t>完成铃客提醒</t>
  </si>
  <si>
    <t>FICC-90378</t>
  </si>
  <si>
    <t>大象中英文语言体系支持-0307</t>
  </si>
  <si>
    <t>张俊</t>
  </si>
  <si>
    <t>按需完成翻译</t>
  </si>
  <si>
    <t>FICC-90679</t>
  </si>
  <si>
    <t>客户详情中全部文件下载替换OB新的接口</t>
  </si>
  <si>
    <t>FICC-90752</t>
  </si>
  <si>
    <t>对接销售支持批量修改</t>
  </si>
  <si>
    <t>完整交付</t>
  </si>
  <si>
    <t>FICC-90739</t>
  </si>
  <si>
    <t>碳排放客户支持调整手工评级</t>
  </si>
  <si>
    <t>FICC-90381</t>
  </si>
  <si>
    <t>iDeal客户画像持续迭代</t>
  </si>
  <si>
    <t>陈志宝</t>
  </si>
  <si>
    <t>LAMP持续优化</t>
  </si>
  <si>
    <t>O45迁移+交易所固收平台切换至互联网平台</t>
  </si>
  <si>
    <t>配合业务进行固收O45迁移
交易所固收平台迁移至互联网平台，涉及到交易链路、行情、RDS等变更</t>
  </si>
  <si>
    <t>策略平台ETCD升级</t>
  </si>
  <si>
    <t>陈宇</t>
  </si>
  <si>
    <t>RDS服务改到common域</t>
  </si>
  <si>
    <t>迭代规划</t>
  </si>
  <si>
    <t>需求描述（0307迭代）</t>
  </si>
  <si>
    <t>研发反馈（截止日：澄清日+2个工作日）</t>
  </si>
  <si>
    <t>境内/境外</t>
  </si>
  <si>
    <t>概要（*）</t>
  </si>
  <si>
    <t>所属业务台</t>
  </si>
  <si>
    <t>IT产品经理（牵头）</t>
  </si>
  <si>
    <t>IT技术负责人（牵头）</t>
  </si>
  <si>
    <t>产品模块</t>
  </si>
  <si>
    <t>承接产品经理</t>
  </si>
  <si>
    <t>前端应用</t>
  </si>
  <si>
    <t>需求内容</t>
  </si>
  <si>
    <t>IT jira编号</t>
  </si>
  <si>
    <t>IT Jira名称</t>
  </si>
  <si>
    <t>需求文档</t>
  </si>
  <si>
    <t>需求评审</t>
  </si>
  <si>
    <t>测试要求</t>
  </si>
  <si>
    <t>交付要求</t>
  </si>
  <si>
    <t>迭代周期</t>
  </si>
  <si>
    <t>后端研发承接人</t>
  </si>
  <si>
    <t>前端研发承接人</t>
  </si>
  <si>
    <t>研发备注</t>
  </si>
  <si>
    <t>交易</t>
  </si>
  <si>
    <t>吴克易琼/钱高翔/夏清/胡于凡/姜玉珠</t>
  </si>
  <si>
    <t>交易员工作站</t>
  </si>
  <si>
    <t>1、接入易盛柜台港交所行情（交付）
2、做市交易链路ormer、策略平台境外部署（交付）
3、对冲侧交易链路、策略、交易对手、账户相关功能开发（方案澄清+技术评估）
4、对冲侧行情界面相关功能开发（部分交付）</t>
  </si>
  <si>
    <t>FICC-90755</t>
  </si>
  <si>
    <t>【主需求】港交所外汇期货做市交易开发（二）</t>
  </si>
  <si>
    <t>http://wiki.htzq.htsc.com.cn/pages/viewpage.action?pageId=441264337</t>
  </si>
  <si>
    <t>（N）3</t>
  </si>
  <si>
    <t>数据服务</t>
  </si>
  <si>
    <t>对冲侧-行情订阅管理页面开发</t>
  </si>
  <si>
    <t>FICC-90871</t>
  </si>
  <si>
    <t>【数据服务-交易员工作站】港交所外汇期货做市交易对冲侧行情订阅管理页面功能开发</t>
  </si>
  <si>
    <t>http://wiki.htzq.htsc.com.cn/pages/viewpage.action?pageId=441908779</t>
  </si>
  <si>
    <t>（2）2</t>
  </si>
  <si>
    <t>习云飞</t>
  </si>
  <si>
    <t>对冲侧-外汇行情看板功能开发</t>
  </si>
  <si>
    <t>FICC-90872</t>
  </si>
  <si>
    <t>【数据服务-交易员工作站】港交所外汇期货做市交易对冲侧外汇行情看板功能开发</t>
  </si>
  <si>
    <t>http://wiki.htzq.htsc.com.cn/pages/viewpage.action?pageId=432902954</t>
  </si>
  <si>
    <t>（1）2</t>
  </si>
  <si>
    <t>对冲侧-外汇即期远期交易链路（方案澄清+技术方案设计+启动开发）</t>
  </si>
  <si>
    <t>FICC-91063</t>
  </si>
  <si>
    <t>【交易-交易员工作站】港交所外汇即期远期对冲侧交易链路（方案澄清+技术方案设计+启动开发）</t>
  </si>
  <si>
    <t>http://wiki.htzq.htsc.com.cn/pages/viewpage.action?pageId=424337370</t>
  </si>
  <si>
    <t>（1）3</t>
  </si>
  <si>
    <t>戚挺、王轮樟</t>
  </si>
  <si>
    <t>Headsbos</t>
  </si>
  <si>
    <t>账户管理界面支持根据Taurus账户新建大象账户，支持查询在Taurus绑定的外部通道。</t>
  </si>
  <si>
    <t>FICC-90917</t>
  </si>
  <si>
    <t>【交易 - headsbos】境外自营账户对接Taurus（4）</t>
  </si>
  <si>
    <t>http://wiki.htzq.htsc.com.cn/pages/viewpage.action?pageId=433608354</t>
  </si>
  <si>
    <t>（4）4</t>
  </si>
  <si>
    <t>孙大卫</t>
  </si>
  <si>
    <t>刘涛</t>
  </si>
  <si>
    <r>
      <rPr>
        <b/>
        <sz val="11"/>
        <color rgb="FF000000"/>
        <rFont val="微软雅黑"/>
        <charset val="134"/>
      </rPr>
      <t>港交所外汇期货对冲交易行情/静态数据接入：</t>
    </r>
    <r>
      <rPr>
        <sz val="11"/>
        <color rgb="FF000000"/>
        <rFont val="微软雅黑"/>
        <charset val="134"/>
      </rPr>
      <t xml:space="preserve">
1.FSS外汇即期、外汇远期静态数据维护
2.USDCNH.BBG行情接入及静态数据维护</t>
    </r>
  </si>
  <si>
    <t>FICC-90072</t>
  </si>
  <si>
    <t>【数据服务】港交所外汇期货对冲交易行情/静态数据接入</t>
  </si>
  <si>
    <t>http://wiki.htzq.htsc.com.cn/pages/viewpage.action?pageId=428499495</t>
  </si>
  <si>
    <t>何鑫</t>
  </si>
  <si>
    <t>策略平台</t>
  </si>
  <si>
    <t>外汇期货做市策略支持FSS现货端对冲
（本迭代进行需求沟通和初步方案设计）</t>
  </si>
  <si>
    <t>FICC-90873</t>
  </si>
  <si>
    <t>【策略平台】港交所外汇期货做市策略支持FSS现货端对冲</t>
  </si>
  <si>
    <t>估值及风险计量</t>
  </si>
  <si>
    <t>1.支持TARF合约清算结果的产生和重跑</t>
  </si>
  <si>
    <t>FICC-90910</t>
  </si>
  <si>
    <t>【估值及风险计量】-支持TARF合约的清算结果生成和FX Spot的簿记Schema</t>
  </si>
  <si>
    <t>http://wiki.htzq.htsc.com.cn/pages/viewpage.action?pageId=428005425</t>
  </si>
  <si>
    <t>（2）4</t>
  </si>
  <si>
    <t>张天翼、沈彦捷、胡越梅</t>
  </si>
  <si>
    <t>客需/交易后</t>
  </si>
  <si>
    <t>1.支持展示FX Spot合约在合约管理页面的增、删、改
2.支持合约事件的生成及增、删、改
3.支持现金流的生成及增、删、改</t>
  </si>
  <si>
    <t>FICC-90909</t>
  </si>
  <si>
    <t>【主需求】支持TARF事件、费用、清算结果的增删改查</t>
  </si>
  <si>
    <t>http://wiki.htzq.htsc.com.cn/pages/viewpage.action?pageId=424315538</t>
  </si>
  <si>
    <t>胡越梅</t>
  </si>
  <si>
    <t>徐可</t>
  </si>
  <si>
    <t>暂不排期</t>
  </si>
  <si>
    <t>展业工作站（web）</t>
  </si>
  <si>
    <t>支持财富管理部私行中心准入客户</t>
  </si>
  <si>
    <t>FICC-90734</t>
  </si>
  <si>
    <t>【主需求】增加财富管理部私行中心客户准入流程</t>
  </si>
  <si>
    <t>http://wiki.htzq.htsc.com.cn/pages/viewpage.action?pageId=444859437</t>
  </si>
  <si>
    <t>吴萍</t>
  </si>
  <si>
    <t>奚杰杰、姜健</t>
  </si>
  <si>
    <t>风险管理工作站</t>
  </si>
  <si>
    <t>支持摊余成本法的成本和收益率计量</t>
  </si>
  <si>
    <t>FICC-90914</t>
  </si>
  <si>
    <t>【估值及风险计量】支持摊余成本法的成本和收益率计量</t>
  </si>
  <si>
    <t>http://wiki.htzq.htsc.com.cn/pages/viewpage.action?pageId=391885489</t>
  </si>
  <si>
    <t>（2）3</t>
  </si>
  <si>
    <t>于晓雨、张煦渤</t>
  </si>
  <si>
    <t>高宇航</t>
  </si>
  <si>
    <t>FICC-90911</t>
  </si>
  <si>
    <t>【主需求】支持摊余成本法的成本和收益率计量</t>
  </si>
  <si>
    <t>李致远</t>
  </si>
  <si>
    <t>FICC-90736</t>
  </si>
  <si>
    <t>【主需求】场外衍生品平台客户白名单新增产品规模校验提醒及CUBE平台同步需求</t>
  </si>
  <si>
    <t>（1）1</t>
  </si>
  <si>
    <t>楚尧杰</t>
  </si>
  <si>
    <t>美国国债交易链路二期建设，支持彭博订单通过XOR模块进行自动化报单及交易。大象系统涉及部分对接SSOX接口参数调整，及完整链路测试。</t>
  </si>
  <si>
    <t>FICC-90887</t>
  </si>
  <si>
    <t>【香港金控FICC】美国国债交易链路二期（支持彭博XOR自动化交易）</t>
  </si>
  <si>
    <t>http://wiki.htzq.htsc.com.cn/pages/viewpage.action?pageId=410373490</t>
  </si>
  <si>
    <t>李华晋</t>
  </si>
  <si>
    <t>无</t>
  </si>
  <si>
    <t>KDB对接行情中心Trace数据
（备注：KDB已完成接入）</t>
  </si>
  <si>
    <t>FICC-92491</t>
  </si>
  <si>
    <t>【主需求】数据需求-同步trace数据到研发网</t>
  </si>
  <si>
    <t>研发台</t>
  </si>
  <si>
    <t>FICC-92493</t>
  </si>
  <si>
    <t>【主需求】港交所外汇期货实时行情落库与订阅需求</t>
  </si>
  <si>
    <t>,交易员工作站</t>
  </si>
  <si>
    <t>1、对接平安利顺下单接口
2、支持发起平安利顺点单、挂单
3、同步策略点单、挂单情况</t>
  </si>
  <si>
    <t>FICC-90738</t>
  </si>
  <si>
    <t>【主需求】iDeal机器人自动下单功能(新增支持平安利顺）</t>
  </si>
  <si>
    <t>http://wiki.htzq.htsc.com.cn/pages/viewpage.action?pageId=448024248</t>
  </si>
  <si>
    <t>孙丰鑫</t>
  </si>
  <si>
    <t>场外运营端（web）</t>
  </si>
  <si>
    <t>FICC-90886</t>
  </si>
  <si>
    <t>【主需求】统一授信报表逻辑优化需求</t>
  </si>
  <si>
    <t>http://wiki.htzq.htsc.com.cn/pages/viewpage.action?pageId=447354129</t>
  </si>
  <si>
    <t>范恒亮</t>
  </si>
  <si>
    <t>闻磊</t>
  </si>
  <si>
    <t>1、境外债cash flow上游数据对接（计划交付）
2、境外债付息交易流水、资金流水自动生成（方案设计）</t>
  </si>
  <si>
    <t>FICC-88175</t>
  </si>
  <si>
    <t>【主需求】境外债TRS付息/资金流水自动生成</t>
  </si>
  <si>
    <t>http://wiki.htzq.htsc.com.cn/pages/viewpage.action?pageId=437466519</t>
  </si>
  <si>
    <t>刘德宽</t>
  </si>
  <si>
    <t>境外债cash flow上游数据对接（视上游数据接入情况动态调整）</t>
  </si>
  <si>
    <t>FICC-90885</t>
  </si>
  <si>
    <t>【数据服务】境外债TRS付息/资金流水自动生成</t>
  </si>
  <si>
    <t>待定</t>
  </si>
  <si>
    <t xml:space="preserve">（方案评估）
</t>
  </si>
  <si>
    <t>FICC-90888</t>
  </si>
  <si>
    <t>【主需求】IRS交易支持对接xswap实现线上对冲</t>
  </si>
  <si>
    <t>http://wiki.htzq.htsc.com.cn/pages/viewpage.action?pageId=450101163</t>
  </si>
  <si>
    <t>赵俊普</t>
  </si>
  <si>
    <t>场外对冲交易链路支持将订单发到自营xswap渠道进行对冲交易，并获取成交回报翻转对客订单（方案评估）</t>
  </si>
  <si>
    <t>孙大卫 王轮樟</t>
  </si>
  <si>
    <t>第一个迭代方案设计</t>
  </si>
  <si>
    <t>报盘服务支持IRS对冲交易报到xswap（方案评估）</t>
  </si>
  <si>
    <t>1、境外债券收益互换支持配置“汇率敞口算法”
2、支持债券互换集中和逐笔合约汇率敞口计算
3、支持累计结转模式</t>
  </si>
  <si>
    <t>FICC-90891</t>
  </si>
  <si>
    <t>【主需求】境外债券支持配置汇率敞口算法</t>
  </si>
  <si>
    <t>何薛树</t>
  </si>
  <si>
    <t>监管报表：交易所债券的结算金额中使用的应计利息改为中证估值（原为中债估值）应计利息的数据。</t>
  </si>
  <si>
    <t>FICC-90919</t>
  </si>
  <si>
    <t>【主需求】监管报表中交易所债券的应计利息切换</t>
  </si>
  <si>
    <t>齐秋灏</t>
  </si>
  <si>
    <t>1.前端：询价交易单 -新增债券借贷下单页面（资运+固收）
2.交易执行切换为上行直连接口
3.交易执行作为应急备选链路</t>
  </si>
  <si>
    <t>FICC-90978</t>
  </si>
  <si>
    <t>【主需求】中央交易室债券借贷交易执行自动化-2</t>
  </si>
  <si>
    <t>http://wiki.htzq.htsc.com.cn/x/3neEGg</t>
  </si>
  <si>
    <t>李源畅</t>
  </si>
  <si>
    <t>报盘开始对接</t>
  </si>
  <si>
    <t>1.对接上行接口，并完成外汇交易中心验收</t>
  </si>
  <si>
    <t>1.综合交易单 给资运部开放x-repo下单权限 是
2.风控规则 x-repo不涉及审批，无可突破场景</t>
  </si>
  <si>
    <t>FICC-90981</t>
  </si>
  <si>
    <t>【主需求】资运部开通x-repo交易链路-2</t>
  </si>
  <si>
    <t>http://wiki.htzq.htsc.com.cn/x/F5R7Gg</t>
  </si>
  <si>
    <t>内部优化</t>
  </si>
  <si>
    <t>美国国债静态数据切换对接统一产品库</t>
  </si>
  <si>
    <t>FICC-90874</t>
  </si>
  <si>
    <t>【主需求】改造对接统一产品库债券的静态数据</t>
  </si>
  <si>
    <t>http://wiki.htzq.htsc.com.cn/pages/viewpage.action?pageId=446812564</t>
  </si>
  <si>
    <t>方案评估，统一产品库质量堪忧，对接后不一定能用</t>
  </si>
  <si>
    <t>对接统一产品库期货的静态数据</t>
  </si>
  <si>
    <t>境外期货静态数据对接统一产品库</t>
  </si>
  <si>
    <t>FICC-90875</t>
  </si>
  <si>
    <t>【主需求】对接统一产品库期货的静态数据</t>
  </si>
  <si>
    <t>优化场外期权数量过多导致入池失败的场景</t>
  </si>
  <si>
    <t>FICC-90876</t>
  </si>
  <si>
    <t>【主需求】场外期权入池场景技术优化</t>
  </si>
  <si>
    <t>http://wiki.htzq.htsc.com.cn/pages/viewpage.action?pageId=452350299</t>
  </si>
  <si>
    <t>RDS,Headsbos</t>
  </si>
  <si>
    <t>1.标的信息管理页面中的部分字段需要根据是否由上游接入来判断是否支持手工维护
2.标的池规则需同步新增支持美国国债的配置</t>
  </si>
  <si>
    <t>FICC-90877</t>
  </si>
  <si>
    <t>【主需求】境外债券ISIN码维护设置优化</t>
  </si>
  <si>
    <t>http://wiki.htzq.htsc.com.cn/pages/viewpage.action?pageId=447356590</t>
  </si>
  <si>
    <t>渠道权限迁移</t>
  </si>
  <si>
    <t>平台</t>
  </si>
  <si>
    <t>将ficcops中维护的渠道，按照枚举值的形式迁移至Headsbos渠道权限列表中</t>
  </si>
  <si>
    <t>FICC-90916</t>
  </si>
  <si>
    <t>【主需求】渠道权限迁移</t>
  </si>
  <si>
    <t>http://wiki.htzq.htsc.com.cn/pages/viewpage.action?pageId=446814764</t>
  </si>
  <si>
    <t>朱洲</t>
  </si>
  <si>
    <t>标准报价面板界面渠道设置项内容，根据Headsbos设置的渠道项显示</t>
  </si>
  <si>
    <t>FICC-91050</t>
  </si>
  <si>
    <t>【交易-交易员工作站】标准报价面板渠道权限迁移</t>
  </si>
  <si>
    <t>标准报价面板渠道权限控制开发</t>
  </si>
  <si>
    <t>询价回复面板的渠道设置内容，根据HEADBOS设置的渠道权限展示</t>
  </si>
  <si>
    <t>FICC-91038</t>
  </si>
  <si>
    <t>【交易-交易员工作站】询价回复面板渠道权限迁移</t>
  </si>
  <si>
    <t>陈弈</t>
  </si>
  <si>
    <t>1.新增铃客提醒4：资金头寸外币铃客提醒</t>
  </si>
  <si>
    <t>FICC-90996</t>
  </si>
  <si>
    <t>【主需求】外币资金头寸铃客提醒</t>
  </si>
  <si>
    <t>http://wiki.htzq.htsc.com.cn/x/woUGGQ</t>
  </si>
  <si>
    <t>交易员工作站,风险管理工作站,展业工作站（web）,投顾平台（web）</t>
  </si>
  <si>
    <t>持续迭代系统翻译</t>
  </si>
  <si>
    <t>【主需求】大象中英文语言体系支持-0307</t>
  </si>
  <si>
    <t>https://linkapp.htsc.com.cn/S/00C1xY</t>
  </si>
  <si>
    <t>刘涛、赵昱</t>
  </si>
  <si>
    <t>支持下载详情页全部OB文件</t>
  </si>
  <si>
    <t>【主需求】客户详情中全部文件下载替换OB新的接口</t>
  </si>
  <si>
    <t>奚杰杰</t>
  </si>
  <si>
    <t>碳排放客户需要同衍生品客户一样支持手工调整评级功能</t>
  </si>
  <si>
    <t>【主需求】碳排放客户支持调整手工评级</t>
  </si>
  <si>
    <t>持续迭代客户画像</t>
  </si>
  <si>
    <t>【主需求】iDeal客户画像持续迭代</t>
  </si>
  <si>
    <t>http://wiki.htzq.htsc.com.cn/pages/viewpage.action?pageId=427262712</t>
  </si>
  <si>
    <t>LAMP优化</t>
  </si>
  <si>
    <t>FICC-91043</t>
  </si>
  <si>
    <t>【主需求】LAMP持续优化</t>
  </si>
  <si>
    <t>http://wiki.htzq.htsc.com.cn/pages/viewpage.action?pageId=449443916</t>
  </si>
  <si>
    <t>卞恺、林紫韬</t>
  </si>
  <si>
    <t>桂美玲</t>
  </si>
  <si>
    <t>曾慧聪、胡于凡</t>
  </si>
  <si>
    <t>1、点击成交：行情及报价下单改造；
2、协商成交：下单及交易对手改造；</t>
  </si>
  <si>
    <t>FICC-90709</t>
  </si>
  <si>
    <t>【主需求】上证固收平台切换配合改造（点击成交、非匹配成交）</t>
  </si>
  <si>
    <t>http://wiki.htzq.htsc.com.cn/pages/viewpage.action?pageId=449428742</t>
  </si>
  <si>
    <t>李源畅 崔冬 何鑫 王轮樟</t>
  </si>
  <si>
    <t>rds服务跟mds服务一样，改到common域</t>
  </si>
  <si>
    <t>FICC-90878</t>
  </si>
  <si>
    <t>【主需求】RDS服务改到common域</t>
  </si>
  <si>
    <t>场外运营侧内部优化</t>
  </si>
  <si>
    <t>1、交易簿参数配置-自定义分组页面中，当分组的推送节点发送变化，复核状态自动置为未复核
2、交易簿组更新铃客提醒展示所有交易簿信息，信息过长时分段
3、合同用印校验规则优化
4、展期流水与galaxy对接需要运营复核
5、推送运营合约估值接口中，leg层新增实际存续数量字段</t>
  </si>
  <si>
    <t>FICC-90884</t>
  </si>
  <si>
    <t>【主需求】场外运营侧内部优化</t>
  </si>
  <si>
    <t>邓光明</t>
  </si>
  <si>
    <t>姚团结、姜健</t>
  </si>
  <si>
    <t>场外对客客户端内部优化</t>
  </si>
  <si>
    <t>场外对客Web端</t>
  </si>
  <si>
    <t xml:space="preserve">1、对客平台分仓导入导出模版加标的和交易方向
2、资金菜单下费率查询支持交易簿查询
</t>
  </si>
  <si>
    <t>FICC-90882</t>
  </si>
  <si>
    <t>【主需求】场外对客客户端内部优化</t>
  </si>
  <si>
    <t>AMI-Client版本升级</t>
  </si>
  <si>
    <t>1.各使用AMI的服务升级heads-framework到2.15.0
2.AMI服务所在机器AMI-lib升级3.2；</t>
  </si>
  <si>
    <t>FICC-91041</t>
  </si>
  <si>
    <t>【AMI版本升级】所有AMI(SPEEDO-JAVA服务)升级AMI版本(框架)</t>
  </si>
  <si>
    <t>http://wiki.htzq.htsc.com.cn/pages/viewpage.action?pageId=425531643</t>
  </si>
  <si>
    <t>备选流程历史审批记录迁移</t>
  </si>
  <si>
    <t>迁移备选流程历史记录到新菜单</t>
  </si>
  <si>
    <t>FICC-89074</t>
  </si>
  <si>
    <t>【主需求】备选流程历史审批记录迁移（3）</t>
  </si>
  <si>
    <t>http://wiki.htzq.htsc.com.cn/pages/viewpage.action?pageId=436926902</t>
  </si>
  <si>
    <t>（3）3</t>
  </si>
  <si>
    <t>夏庆飞</t>
  </si>
  <si>
    <t>姚团结</t>
  </si>
  <si>
    <t>账户权限相关服务迁移</t>
  </si>
  <si>
    <t>book中跟权限相关的接口，需从旧服务这边迁移到新服务这边，涉及的相关服务需要进行接口迁移</t>
  </si>
  <si>
    <t>FICC-90685</t>
  </si>
  <si>
    <t>【主需求】账户权限相关服务迁移</t>
  </si>
  <si>
    <t>http://wiki.htzq.htsc.com.cn/pages/viewpage.action?pageId=361829988</t>
  </si>
  <si>
    <t>王轮樟、李源畅</t>
  </si>
  <si>
    <t>node-fw-proxy生产集成上线</t>
  </si>
  <si>
    <t>node-bff集成使用js-proxy</t>
  </si>
  <si>
    <t>FICC-91006</t>
  </si>
  <si>
    <t>node集成heads proxy模块</t>
  </si>
  <si>
    <t>http://wiki.htzq.htsc.com.cn/pages/viewpage.action?pageId=387150421</t>
  </si>
  <si>
    <t xml:space="preserve"> AURORA平台优化及HAB整合</t>
  </si>
  <si>
    <t>新AURORA策略平台构建及前端重设计</t>
  </si>
  <si>
    <t>FICC-91066</t>
  </si>
  <si>
    <t>AURORA平台优化及HAB整合-26-0307</t>
  </si>
  <si>
    <t>标准化产品（美国国债）簿记</t>
  </si>
  <si>
    <t>使用交易标准方案构建境外标准化产品簿记方案</t>
  </si>
  <si>
    <t>戚挺 陆中骞</t>
  </si>
  <si>
    <t>http://168.61.113.232:8080/browse/FICCHEADS-1114</t>
  </si>
  <si>
    <t>彭博IBAPI接入需求</t>
  </si>
  <si>
    <t>彭博IBAPI接入</t>
  </si>
  <si>
    <t>FICC-92433</t>
  </si>
  <si>
    <t>【主需求】彭博IBAPI接入需求</t>
  </si>
  <si>
    <t xml:space="preserve">    </t>
  </si>
  <si>
    <t>固收部【境内】</t>
  </si>
  <si>
    <r>
      <rPr>
        <sz val="12"/>
        <color rgb="FF000000"/>
        <rFont val="微软雅黑"/>
        <charset val="134"/>
      </rPr>
      <t>发给</t>
    </r>
    <r>
      <rPr>
        <sz val="12"/>
        <color rgb="FFFF0000"/>
        <rFont val="微软雅黑"/>
        <charset val="134"/>
      </rPr>
      <t>固收部</t>
    </r>
    <r>
      <rPr>
        <sz val="12"/>
        <color rgb="FF000000"/>
        <rFont val="微软雅黑"/>
        <charset val="134"/>
      </rPr>
      <t>验收清单需包含的列头</t>
    </r>
  </si>
  <si>
    <t>每次发版评审，额外所需列头</t>
  </si>
  <si>
    <r>
      <rPr>
        <b/>
        <sz val="12"/>
        <color rgb="FF000000"/>
        <rFont val="微软雅黑"/>
        <charset val="134"/>
      </rPr>
      <t xml:space="preserve">需求归属
</t>
    </r>
    <r>
      <rPr>
        <b/>
        <sz val="12"/>
        <color rgb="FFFF0000"/>
        <rFont val="微软雅黑"/>
        <charset val="134"/>
      </rPr>
      <t>【产品确认】</t>
    </r>
  </si>
  <si>
    <r>
      <rPr>
        <b/>
        <sz val="12"/>
        <color rgb="FF000000"/>
        <rFont val="微软雅黑"/>
        <charset val="134"/>
      </rPr>
      <t xml:space="preserve">验收人
</t>
    </r>
    <r>
      <rPr>
        <b/>
        <sz val="12"/>
        <color rgb="FFFF0000"/>
        <rFont val="微软雅黑"/>
        <charset val="134"/>
      </rPr>
      <t>【产品确认】</t>
    </r>
  </si>
  <si>
    <r>
      <rPr>
        <b/>
        <sz val="12"/>
        <color rgb="FF000000"/>
        <rFont val="微软雅黑"/>
        <charset val="134"/>
      </rPr>
      <t xml:space="preserve">业务需求编号
</t>
    </r>
    <r>
      <rPr>
        <b/>
        <sz val="12"/>
        <color rgb="FFFF0000"/>
        <rFont val="微软雅黑"/>
        <charset val="134"/>
      </rPr>
      <t>【产品确认】</t>
    </r>
  </si>
  <si>
    <t>产品jira</t>
  </si>
  <si>
    <t>概要</t>
  </si>
  <si>
    <t>业务验收内容</t>
  </si>
  <si>
    <t>经办人</t>
  </si>
  <si>
    <r>
      <rPr>
        <b/>
        <sz val="12"/>
        <color rgb="FF000000"/>
        <rFont val="微软雅黑"/>
        <charset val="134"/>
      </rPr>
      <t xml:space="preserve">产品验收状态
</t>
    </r>
    <r>
      <rPr>
        <b/>
        <sz val="12"/>
        <color rgb="FFFF0000"/>
        <rFont val="微软雅黑"/>
        <charset val="134"/>
      </rPr>
      <t>【产品确认】</t>
    </r>
  </si>
  <si>
    <r>
      <rPr>
        <b/>
        <sz val="12"/>
        <color rgb="FF000000"/>
        <rFont val="微软雅黑"/>
        <charset val="134"/>
      </rPr>
      <t xml:space="preserve">是否完整交付
</t>
    </r>
    <r>
      <rPr>
        <b/>
        <sz val="12"/>
        <color rgb="FFFF0000"/>
        <rFont val="微软雅黑"/>
        <charset val="134"/>
      </rPr>
      <t>【产品确认】</t>
    </r>
  </si>
  <si>
    <t>是否业务验收</t>
  </si>
  <si>
    <t>需求提出部门</t>
  </si>
  <si>
    <t>运维关注</t>
  </si>
  <si>
    <t>生产环境配置</t>
  </si>
  <si>
    <t>周一验证</t>
  </si>
  <si>
    <t>固收风险管理团队</t>
  </si>
  <si>
    <t>顾妍</t>
  </si>
  <si>
    <t>监管报表中交易所债券的应计利息切换</t>
  </si>
  <si>
    <t>监管报表：交易所债券的结算金额中使用的应计利息为中证估值应计利息的数据</t>
  </si>
  <si>
    <t>通过</t>
  </si>
  <si>
    <t>固收产品台</t>
  </si>
  <si>
    <t>主要产出物：债券平均摊余成本、债券总摊余成本、债券摊余平均收益率</t>
  </si>
  <si>
    <t>衍生品销售台</t>
  </si>
  <si>
    <t>向CUBE平台同步白名单数据需求</t>
  </si>
  <si>
    <t>场外衍生品白名单数据通过数据中台同步至CUBE</t>
  </si>
  <si>
    <t>固收融资台</t>
  </si>
  <si>
    <t>外币资金头寸铃客提醒</t>
  </si>
  <si>
    <t>1.铃客提醒标题：银行间外币头寸提醒
2.提醒时间：银行间交易日晚10.20点
3.提醒内容：
1）自营账户下一交易日【日初余额】A美元，【日初缺口】B美元，【合计】A+B美元；
 2）衡泰41005账户下一交易日【日初余额】A美元，【日初缺口】B美元，【合计】A+B美元</t>
  </si>
  <si>
    <t>合规风控台</t>
  </si>
  <si>
    <t>陈璐</t>
  </si>
  <si>
    <t>渠道权限支持在Headsbos界面配置</t>
  </si>
  <si>
    <t>1、管理员为用户A，在“渠道权限“中，添加”渠道交易员”角色，并在角色对应列勾选报价渠道A，那么用户A在综合报价面板可以看到报价渠道A的数据
2、管理员为用户A，在“渠道权限“中，添加”渠道交易员”角色，并在角色对应列勾选询价渠道B，那么用户A在询价回复面板可以看到询价渠道B的数据</t>
  </si>
  <si>
    <t>1、对客平台分仓导入导出模版加标的和交易方向
2、资金菜单下费率查询支持交易簿查询</t>
  </si>
  <si>
    <t>办结过仅更新业务表单之后，支持下载详情页全部OB文件</t>
  </si>
  <si>
    <t>FICC-92504</t>
  </si>
  <si>
    <t>新增账户角色“查询人员”</t>
  </si>
  <si>
    <t>在Headsbos中，在账户管理中，为用户A配置“大类资产交易台、利率交易A台、利率交易B台、配置交易台、信用交易台”‘几个台账户的“查询人员”的账户角色
用户A登录交易员工作站中，可以查询关于上述若干台的所有交易数据</t>
  </si>
  <si>
    <t>验证中</t>
  </si>
  <si>
    <t>固收部【境外】</t>
  </si>
  <si>
    <t>Spencer Fung 冯俊豪</t>
  </si>
  <si>
    <t>支持TARF事件、费用、清算结果的增删改查</t>
  </si>
  <si>
    <t>原有界面功能新增支持：
【Booking】新增支持录入和修改FX spot合约
【Contract Blotter】支持查看Fx spot类型的合约，并进行修改、删除；支持对合约进行re clearing、删除
【Valuation Report】可验证Alib0.73.5版本模型的估值、风险计量准确性
新增界面功能：
【Cash Flow List】页面支持查看所有Cash Flow，并对已产生的Cash Flow进行修改、删除
【Event List】页面支持查看合约跑批产生的事件，支持手动录入Terminate事件，支持对已有事件仅修改、删除</t>
  </si>
  <si>
    <t>刘佩金、胡于凡</t>
  </si>
  <si>
    <t>赵泰之</t>
  </si>
  <si>
    <t>KDB正确接入行情中心（路孚特源）港交所外汇期货实时行情数据</t>
  </si>
  <si>
    <t>张辰阳</t>
  </si>
  <si>
    <t>KDB正确接入trace境外信用债逐笔成交数据</t>
  </si>
  <si>
    <t>境外自营账户对接Taurus</t>
  </si>
  <si>
    <t>在外部通道中，支持查询大象账户和Taurus账户、TOMS账户、Calypso账户绑定关系</t>
  </si>
  <si>
    <r>
      <rPr>
        <sz val="12"/>
        <color rgb="FF000000"/>
        <rFont val="微软雅黑"/>
        <charset val="134"/>
      </rPr>
      <t>发给</t>
    </r>
    <r>
      <rPr>
        <sz val="12"/>
        <color rgb="FFFF0000"/>
        <rFont val="微软雅黑"/>
        <charset val="134"/>
      </rPr>
      <t>资运部</t>
    </r>
    <r>
      <rPr>
        <sz val="12"/>
        <color rgb="FF000000"/>
        <rFont val="微软雅黑"/>
        <charset val="134"/>
      </rPr>
      <t>验收清单需包含的列头</t>
    </r>
  </si>
  <si>
    <t>奚东升、马露露</t>
  </si>
  <si>
    <t>IT需求申请资运20251224590060</t>
  </si>
  <si>
    <t>FICC-91298</t>
  </si>
  <si>
    <t>headsbos权限控制提升</t>
  </si>
  <si>
    <t>“授权账户‘界面，登录用户只能查看&amp;修改本部门数据</t>
  </si>
  <si>
    <t>冯翔欣、马露露</t>
  </si>
  <si>
    <t>大象平台x-repo功能开放</t>
  </si>
  <si>
    <t>1.综合交易单：给资运部开放x-repo下单权限
2.订单监控/成交监控：可查看x-repo订单成交数据；清算导出包含x-repo数据
3.库存查询/债券管理：x-repo质押券对可用产生影响
4.相关风控规则纳入x-repo占用</t>
  </si>
  <si>
    <t>阶段</t>
  </si>
  <si>
    <t>日期</t>
  </si>
  <si>
    <t>工作事项（计划）</t>
  </si>
  <si>
    <t>进展总结
（12/24日）</t>
  </si>
  <si>
    <t>进展总结
（12/25日）</t>
  </si>
  <si>
    <t>进展总结
（12/26日）</t>
  </si>
  <si>
    <t>进展总结
（12/29日）</t>
  </si>
  <si>
    <t>进展总结
（12/30日）</t>
  </si>
  <si>
    <t>进展总结
（12/31日）</t>
  </si>
  <si>
    <t>进展总结
（1/5日）</t>
  </si>
  <si>
    <t>进展总结
（1/6日）</t>
  </si>
  <si>
    <t>进展总结
（1/7日）</t>
  </si>
  <si>
    <t>进展总结
（1/8日）</t>
  </si>
  <si>
    <t>项目组工作</t>
  </si>
  <si>
    <t>产品团队</t>
  </si>
  <si>
    <t>研发团队</t>
  </si>
  <si>
    <t>BRD评估阶段</t>
  </si>
  <si>
    <t>各业务部门需求收集和登记
明确需求技术牵头人</t>
  </si>
  <si>
    <t>登记产品优化需求
明确需求产品牵头人
筛选BRD未达到准入条件的需求列表</t>
  </si>
  <si>
    <t>登记技术内生需求</t>
  </si>
  <si>
    <r>
      <rPr>
        <b/>
        <sz val="11"/>
        <color rgb="FF000000"/>
        <rFont val="微软雅黑"/>
        <charset val="134"/>
      </rPr>
      <t>进展总结</t>
    </r>
    <r>
      <rPr>
        <sz val="11"/>
        <color rgb="FF000000"/>
        <rFont val="微软雅黑"/>
        <charset val="134"/>
      </rPr>
      <t xml:space="preserve">
1. </t>
    </r>
    <r>
      <rPr>
        <b/>
        <sz val="11"/>
        <color rgb="FF000000"/>
        <rFont val="微软雅黑"/>
        <charset val="134"/>
      </rPr>
      <t>业务需求登记：</t>
    </r>
    <r>
      <rPr>
        <sz val="11"/>
        <color rgb="FF000000"/>
        <rFont val="微软雅黑"/>
        <charset val="134"/>
      </rPr>
      <t>完成</t>
    </r>
    <r>
      <rPr>
        <b/>
        <sz val="12"/>
        <color rgb="FFFF0000"/>
        <rFont val="微软雅黑"/>
        <charset val="134"/>
      </rPr>
      <t>30条</t>
    </r>
    <r>
      <rPr>
        <sz val="11"/>
        <color rgb="FF000000"/>
        <rFont val="微软雅黑"/>
        <charset val="134"/>
      </rPr>
      <t xml:space="preserve">业务需求登记，其中固收部26条需求，中央交易室1条，资运部3条
</t>
    </r>
    <r>
      <rPr>
        <b/>
        <sz val="11"/>
        <color rgb="FF000000"/>
        <rFont val="微软雅黑"/>
        <charset val="134"/>
      </rPr>
      <t>2. 产品牵头人登记</t>
    </r>
    <r>
      <rPr>
        <sz val="11"/>
        <color rgb="FF000000"/>
        <rFont val="微软雅黑"/>
        <charset val="134"/>
      </rPr>
      <t>：其中</t>
    </r>
    <r>
      <rPr>
        <b/>
        <sz val="12"/>
        <color rgb="FFFF0000"/>
        <rFont val="微软雅黑"/>
        <charset val="134"/>
      </rPr>
      <t>28条</t>
    </r>
    <r>
      <rPr>
        <sz val="11"/>
        <color rgb="FF000000"/>
        <rFont val="微软雅黑"/>
        <charset val="134"/>
      </rPr>
      <t xml:space="preserve">需求已指定产品经理牵头人，余下2条采购需求暂不填写
</t>
    </r>
    <r>
      <rPr>
        <b/>
        <sz val="11"/>
        <color rgb="FF000000"/>
        <rFont val="微软雅黑"/>
        <charset val="134"/>
      </rPr>
      <t>3. 技术牵头人登记：</t>
    </r>
    <r>
      <rPr>
        <sz val="11"/>
        <color rgb="FF000000"/>
        <rFont val="微软雅黑"/>
        <charset val="134"/>
      </rPr>
      <t>其中</t>
    </r>
    <r>
      <rPr>
        <b/>
        <sz val="11"/>
        <color rgb="FFFF0000"/>
        <rFont val="微软雅黑"/>
        <charset val="134"/>
      </rPr>
      <t>28条</t>
    </r>
    <r>
      <rPr>
        <sz val="11"/>
        <color rgb="FF000000"/>
        <rFont val="微软雅黑"/>
        <charset val="134"/>
      </rPr>
      <t xml:space="preserve">需求已初步指定技术牵头人，2条采购需求暂不填写
</t>
    </r>
    <r>
      <rPr>
        <b/>
        <sz val="11"/>
        <color rgb="FF000000"/>
        <rFont val="微软雅黑"/>
        <charset val="134"/>
      </rPr>
      <t>4. 内生性需求登记：</t>
    </r>
    <r>
      <rPr>
        <sz val="11"/>
        <color rgb="FF000000"/>
        <rFont val="微软雅黑"/>
        <charset val="134"/>
      </rPr>
      <t>产品团队已登记</t>
    </r>
    <r>
      <rPr>
        <b/>
        <sz val="11"/>
        <color rgb="FFFF0000"/>
        <rFont val="微软雅黑"/>
        <charset val="134"/>
      </rPr>
      <t>8</t>
    </r>
    <r>
      <rPr>
        <b/>
        <sz val="12"/>
        <color rgb="FFFF0000"/>
        <rFont val="微软雅黑"/>
        <charset val="134"/>
      </rPr>
      <t>条</t>
    </r>
    <r>
      <rPr>
        <sz val="11"/>
        <color rgb="FF000000"/>
        <rFont val="微软雅黑"/>
        <charset val="134"/>
      </rPr>
      <t>内生性需求，技术团队内生性需求</t>
    </r>
    <r>
      <rPr>
        <b/>
        <sz val="11"/>
        <color rgb="FFFF0000"/>
        <rFont val="微软雅黑"/>
        <charset val="134"/>
      </rPr>
      <t>0条</t>
    </r>
    <r>
      <rPr>
        <sz val="11"/>
        <color rgb="FF000000"/>
        <rFont val="微软雅黑"/>
        <charset val="134"/>
      </rPr>
      <t xml:space="preserve">
</t>
    </r>
    <r>
      <rPr>
        <b/>
        <sz val="11"/>
        <color rgb="FFFF0000"/>
        <rFont val="微软雅黑"/>
        <charset val="134"/>
      </rPr>
      <t>待办事项：</t>
    </r>
    <r>
      <rPr>
        <sz val="11"/>
        <color rgb="FF000000"/>
        <rFont val="微软雅黑"/>
        <charset val="134"/>
      </rPr>
      <t xml:space="preserve">
1. 采购类需求如何处理，谁来跟进负责？
2. 内生性需求登记进展低于预期，需技术团队尽快完成团队内审核并登记到云文档
3. 请各研发团队长检查技术牵头人的指定有无问题，如有问题及时反馈</t>
    </r>
  </si>
  <si>
    <r>
      <rPr>
        <b/>
        <sz val="11"/>
        <color rgb="FF000000"/>
        <rFont val="微软雅黑"/>
        <charset val="134"/>
      </rPr>
      <t>进展总结</t>
    </r>
    <r>
      <rPr>
        <sz val="11"/>
        <color rgb="FF000000"/>
        <rFont val="微软雅黑"/>
        <charset val="134"/>
      </rPr>
      <t xml:space="preserve">
1. </t>
    </r>
    <r>
      <rPr>
        <b/>
        <sz val="11"/>
        <color rgb="FF000000"/>
        <rFont val="微软雅黑"/>
        <charset val="134"/>
      </rPr>
      <t>业务需求登记：</t>
    </r>
    <r>
      <rPr>
        <sz val="11"/>
        <color rgb="FF000000"/>
        <rFont val="微软雅黑"/>
        <charset val="134"/>
      </rPr>
      <t>固收今日临时新增一条需求，共完成</t>
    </r>
    <r>
      <rPr>
        <b/>
        <sz val="12"/>
        <color rgb="FFFF0000"/>
        <rFont val="微软雅黑"/>
        <charset val="134"/>
      </rPr>
      <t>31条</t>
    </r>
    <r>
      <rPr>
        <sz val="11"/>
        <color rgb="FF000000"/>
        <rFont val="微软雅黑"/>
        <charset val="134"/>
      </rPr>
      <t xml:space="preserve">业务需求登记，其中固收部27条需求，中央交易室1条，资运部3条
</t>
    </r>
    <r>
      <rPr>
        <b/>
        <sz val="11"/>
        <color rgb="FF000000"/>
        <rFont val="微软雅黑"/>
        <charset val="134"/>
      </rPr>
      <t>2. 产品BRD评估</t>
    </r>
    <r>
      <rPr>
        <sz val="11"/>
        <color rgb="FF000000"/>
        <rFont val="微软雅黑"/>
        <charset val="134"/>
      </rPr>
      <t>：产品团队完成业务需求初步评估，共筛选出</t>
    </r>
    <r>
      <rPr>
        <b/>
        <sz val="11"/>
        <color rgb="FFFF0000"/>
        <rFont val="微软雅黑"/>
        <charset val="134"/>
      </rPr>
      <t>8条</t>
    </r>
    <r>
      <rPr>
        <sz val="11"/>
        <color rgb="FF000000"/>
        <rFont val="微软雅黑"/>
        <charset val="134"/>
      </rPr>
      <t xml:space="preserve">需求不满足BRD准入标准。已统一反馈至固收人员对应铃客群，IT产品团队正在与业务团队一起解决这8条需求的澄清问题。
</t>
    </r>
    <r>
      <rPr>
        <b/>
        <sz val="11"/>
        <color rgb="FF000000"/>
        <rFont val="微软雅黑"/>
        <charset val="134"/>
      </rPr>
      <t>3. 技术评估：</t>
    </r>
    <r>
      <rPr>
        <sz val="11"/>
        <color rgb="FF000000"/>
        <rFont val="微软雅黑"/>
        <charset val="134"/>
      </rPr>
      <t>目前已有</t>
    </r>
    <r>
      <rPr>
        <b/>
        <sz val="11"/>
        <color rgb="FFFF0000"/>
        <rFont val="微软雅黑"/>
        <charset val="134"/>
      </rPr>
      <t>21条</t>
    </r>
    <r>
      <rPr>
        <sz val="11"/>
        <color rgb="FF000000"/>
        <rFont val="微软雅黑"/>
        <charset val="134"/>
      </rPr>
      <t xml:space="preserve">业务需求符合准入条件，已邮件通知技术负责人启动技术评估。
</t>
    </r>
    <r>
      <rPr>
        <b/>
        <sz val="11"/>
        <color rgb="FF000000"/>
        <rFont val="微软雅黑"/>
        <charset val="134"/>
      </rPr>
      <t>4. 内生性需求登记：</t>
    </r>
    <r>
      <rPr>
        <sz val="11"/>
        <color rgb="FF000000"/>
        <rFont val="微软雅黑"/>
        <charset val="134"/>
      </rPr>
      <t>已登记</t>
    </r>
    <r>
      <rPr>
        <b/>
        <sz val="11"/>
        <color rgb="FFFF0000"/>
        <rFont val="微软雅黑"/>
        <charset val="134"/>
      </rPr>
      <t>10</t>
    </r>
    <r>
      <rPr>
        <b/>
        <sz val="12"/>
        <color rgb="FFFF0000"/>
        <rFont val="微软雅黑"/>
        <charset val="134"/>
      </rPr>
      <t>条</t>
    </r>
    <r>
      <rPr>
        <sz val="11"/>
        <color rgb="FF000000"/>
        <rFont val="微软雅黑"/>
        <charset val="134"/>
      </rPr>
      <t xml:space="preserve">内生性需求（产品优化8条，技术内生2条）
</t>
    </r>
    <r>
      <rPr>
        <b/>
        <sz val="11"/>
        <color rgb="FFFF0000"/>
        <rFont val="微软雅黑"/>
        <charset val="134"/>
      </rPr>
      <t>待办事项：</t>
    </r>
    <r>
      <rPr>
        <sz val="11"/>
        <color rgb="FF000000"/>
        <rFont val="微软雅黑"/>
        <charset val="134"/>
      </rPr>
      <t xml:space="preserve">
1. 采购类需求如何处理，谁来跟进负责？(待健华休假结束后讨论）
</t>
    </r>
  </si>
  <si>
    <r>
      <rPr>
        <b/>
        <sz val="11"/>
        <color rgb="FF000000"/>
        <rFont val="微软雅黑"/>
        <charset val="134"/>
      </rPr>
      <t>一、进展总结</t>
    </r>
    <r>
      <rPr>
        <sz val="11"/>
        <color rgb="FF000000"/>
        <rFont val="微软雅黑"/>
        <charset val="134"/>
      </rPr>
      <t xml:space="preserve">
1. </t>
    </r>
    <r>
      <rPr>
        <b/>
        <sz val="11"/>
        <color rgb="FF000000"/>
        <rFont val="微软雅黑"/>
        <charset val="134"/>
      </rPr>
      <t>业务需求澄清：</t>
    </r>
    <r>
      <rPr>
        <sz val="11"/>
        <color rgb="FF000000"/>
        <rFont val="微软雅黑"/>
        <charset val="134"/>
      </rPr>
      <t>产品团队昨天筛出的8条不满足BRD准入标准的需求，经固收团队澄清沟通，有</t>
    </r>
    <r>
      <rPr>
        <b/>
        <sz val="11"/>
        <color rgb="FFFF0000"/>
        <rFont val="微软雅黑"/>
        <charset val="134"/>
      </rPr>
      <t>3条</t>
    </r>
    <r>
      <rPr>
        <sz val="11"/>
        <color rgb="FF000000"/>
        <rFont val="微软雅黑"/>
        <charset val="134"/>
      </rPr>
      <t>已满足标准，剩余</t>
    </r>
    <r>
      <rPr>
        <b/>
        <sz val="11"/>
        <color rgb="FFFF0000"/>
        <rFont val="微软雅黑"/>
        <charset val="134"/>
      </rPr>
      <t>5条</t>
    </r>
    <r>
      <rPr>
        <sz val="11"/>
        <color rgb="FF000000"/>
        <rFont val="微软雅黑"/>
        <charset val="134"/>
      </rPr>
      <t xml:space="preserve">正在澄清沟通中。
</t>
    </r>
    <r>
      <rPr>
        <b/>
        <sz val="11"/>
        <color rgb="FF000000"/>
        <rFont val="微软雅黑"/>
        <charset val="134"/>
      </rPr>
      <t>2. 产品BRD评估</t>
    </r>
    <r>
      <rPr>
        <sz val="11"/>
        <color rgb="FF000000"/>
        <rFont val="微软雅黑"/>
        <charset val="134"/>
      </rPr>
      <t>：产品团队重点评估需求是否纳入后续交付，对需求进行分类标记，减少后续研发评估工作量，已标记</t>
    </r>
    <r>
      <rPr>
        <b/>
        <sz val="11"/>
        <color rgb="FFFF0000"/>
        <rFont val="微软雅黑"/>
        <charset val="134"/>
      </rPr>
      <t>7条</t>
    </r>
    <r>
      <rPr>
        <sz val="11"/>
        <color rgb="FF000000"/>
        <rFont val="微软雅黑"/>
        <charset val="134"/>
      </rPr>
      <t>纳入，</t>
    </r>
    <r>
      <rPr>
        <b/>
        <sz val="11"/>
        <color rgb="FFFF0000"/>
        <rFont val="微软雅黑"/>
        <charset val="134"/>
      </rPr>
      <t>1条</t>
    </r>
    <r>
      <rPr>
        <sz val="11"/>
        <color rgb="FF000000"/>
        <rFont val="微软雅黑"/>
        <charset val="134"/>
      </rPr>
      <t>不纳入，其余</t>
    </r>
    <r>
      <rPr>
        <b/>
        <sz val="11"/>
        <color rgb="FFFF0000"/>
        <rFont val="微软雅黑"/>
        <charset val="134"/>
      </rPr>
      <t>23条</t>
    </r>
    <r>
      <rPr>
        <sz val="11"/>
        <color rgb="FF000000"/>
        <rFont val="微软雅黑"/>
        <charset val="134"/>
      </rPr>
      <t xml:space="preserve">在持续评估中。
3. </t>
    </r>
    <r>
      <rPr>
        <b/>
        <sz val="11"/>
        <color rgb="FF000000"/>
        <rFont val="微软雅黑"/>
        <charset val="134"/>
      </rPr>
      <t>技术评估：</t>
    </r>
    <r>
      <rPr>
        <sz val="11"/>
        <color rgb="FF000000"/>
        <rFont val="微软雅黑"/>
        <charset val="134"/>
      </rPr>
      <t>协助产品经理一起评估需求是否能纳入交付。
二、</t>
    </r>
    <r>
      <rPr>
        <b/>
        <sz val="11"/>
        <color rgb="FF000000"/>
        <rFont val="微软雅黑"/>
        <charset val="134"/>
      </rPr>
      <t>待办事项：</t>
    </r>
    <r>
      <rPr>
        <sz val="11"/>
        <color rgb="FF000000"/>
        <rFont val="微软雅黑"/>
        <charset val="134"/>
      </rPr>
      <t xml:space="preserve">
1. 采购类需求如何处理，谁来跟进负责？(待健华休假结束后讨论）
</t>
    </r>
  </si>
  <si>
    <r>
      <rPr>
        <b/>
        <sz val="11"/>
        <color rgb="FF000000"/>
        <rFont val="微软雅黑"/>
        <charset val="134"/>
      </rPr>
      <t>一、进展总结</t>
    </r>
    <r>
      <rPr>
        <sz val="11"/>
        <color rgb="FF000000"/>
        <rFont val="微软雅黑"/>
        <charset val="134"/>
      </rPr>
      <t xml:space="preserve">
1. </t>
    </r>
    <r>
      <rPr>
        <b/>
        <sz val="11"/>
        <color rgb="FF000000"/>
        <rFont val="微软雅黑"/>
        <charset val="134"/>
      </rPr>
      <t>业务需求澄清：</t>
    </r>
    <r>
      <rPr>
        <sz val="11"/>
        <color rgb="FF000000"/>
        <rFont val="微软雅黑"/>
        <charset val="134"/>
      </rPr>
      <t>针对8条待进一步澄清的需求，截止目前有6条已符合BRD评估标准，剩余</t>
    </r>
    <r>
      <rPr>
        <b/>
        <sz val="11"/>
        <color rgb="FFFF0000"/>
        <rFont val="微软雅黑"/>
        <charset val="134"/>
      </rPr>
      <t>2条</t>
    </r>
    <r>
      <rPr>
        <sz val="11"/>
        <color rgb="FF000000"/>
        <rFont val="微软雅黑"/>
        <charset val="134"/>
      </rPr>
      <t xml:space="preserve">双方团队正在澄清沟通中。
</t>
    </r>
    <r>
      <rPr>
        <b/>
        <sz val="11"/>
        <color rgb="FF000000"/>
        <rFont val="微软雅黑"/>
        <charset val="134"/>
      </rPr>
      <t>2. BRD评估</t>
    </r>
    <r>
      <rPr>
        <sz val="11"/>
        <color rgb="FF000000"/>
        <rFont val="微软雅黑"/>
        <charset val="134"/>
      </rPr>
      <t>：当前29条待评估需求，有</t>
    </r>
    <r>
      <rPr>
        <b/>
        <sz val="11"/>
        <color rgb="FFFF0000"/>
        <rFont val="微软雅黑"/>
        <charset val="134"/>
      </rPr>
      <t>4条</t>
    </r>
    <r>
      <rPr>
        <sz val="11"/>
        <color rgb="FF000000"/>
        <rFont val="微软雅黑"/>
        <charset val="134"/>
      </rPr>
      <t>产品评估为不纳入，有</t>
    </r>
    <r>
      <rPr>
        <b/>
        <sz val="11"/>
        <color rgb="FFFF0000"/>
        <rFont val="微软雅黑"/>
        <charset val="134"/>
      </rPr>
      <t>16条</t>
    </r>
    <r>
      <rPr>
        <sz val="11"/>
        <color rgb="FF000000"/>
        <rFont val="微软雅黑"/>
        <charset val="134"/>
      </rPr>
      <t>拟纳入交付，已有12条需求完成预估迭代评估填写占总需求量的</t>
    </r>
    <r>
      <rPr>
        <b/>
        <sz val="11"/>
        <color rgb="FFFF0000"/>
        <rFont val="微软雅黑"/>
        <charset val="134"/>
      </rPr>
      <t>41.3%</t>
    </r>
    <r>
      <rPr>
        <sz val="11"/>
        <color rgb="FF000000"/>
        <rFont val="微软雅黑"/>
        <charset val="134"/>
      </rPr>
      <t>，。
二、</t>
    </r>
    <r>
      <rPr>
        <b/>
        <sz val="11"/>
        <color rgb="FF000000"/>
        <rFont val="微软雅黑"/>
        <charset val="134"/>
      </rPr>
      <t>待办事项：</t>
    </r>
    <r>
      <rPr>
        <sz val="11"/>
        <color rgb="FF000000"/>
        <rFont val="微软雅黑"/>
        <charset val="134"/>
      </rPr>
      <t xml:space="preserve">
1. 无</t>
    </r>
  </si>
  <si>
    <r>
      <rPr>
        <b/>
        <sz val="11"/>
        <color rgb="FF000000"/>
        <rFont val="微软雅黑"/>
        <charset val="134"/>
      </rPr>
      <t>一、进展总结</t>
    </r>
    <r>
      <rPr>
        <sz val="11"/>
        <color rgb="FF000000"/>
        <rFont val="微软雅黑"/>
        <charset val="134"/>
      </rPr>
      <t xml:space="preserve">
1. </t>
    </r>
    <r>
      <rPr>
        <b/>
        <sz val="11"/>
        <color rgb="FF000000"/>
        <rFont val="微软雅黑"/>
        <charset val="134"/>
      </rPr>
      <t>业务需求澄清：</t>
    </r>
    <r>
      <rPr>
        <sz val="11"/>
        <color rgb="FF000000"/>
        <rFont val="微软雅黑"/>
        <charset val="134"/>
      </rPr>
      <t>针对8条待进一步澄清的需求，已全部沟通完毕，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BRD评估</t>
    </r>
    <r>
      <rPr>
        <sz val="11"/>
        <color rgb="FF000000"/>
        <rFont val="微软雅黑"/>
        <charset val="134"/>
      </rPr>
      <t>：当前29条待评估需求，有</t>
    </r>
    <r>
      <rPr>
        <b/>
        <sz val="11"/>
        <color rgb="FFFF0000"/>
        <rFont val="微软雅黑"/>
        <charset val="134"/>
      </rPr>
      <t>5条</t>
    </r>
    <r>
      <rPr>
        <sz val="11"/>
        <color rgb="FF000000"/>
        <rFont val="微软雅黑"/>
        <charset val="134"/>
      </rPr>
      <t>产品评估为不纳入，有</t>
    </r>
    <r>
      <rPr>
        <b/>
        <sz val="11"/>
        <color rgb="FFFF0000"/>
        <rFont val="微软雅黑"/>
        <charset val="134"/>
      </rPr>
      <t>19条</t>
    </r>
    <r>
      <rPr>
        <sz val="11"/>
        <color rgb="FF000000"/>
        <rFont val="微软雅黑"/>
        <charset val="134"/>
      </rPr>
      <t>拟纳入交付。目前有</t>
    </r>
    <r>
      <rPr>
        <b/>
        <sz val="11"/>
        <color rgb="FFFF0000"/>
        <rFont val="微软雅黑"/>
        <charset val="134"/>
      </rPr>
      <t>15条</t>
    </r>
    <r>
      <rPr>
        <sz val="11"/>
        <color rgb="FF000000"/>
        <rFont val="微软雅黑"/>
        <charset val="134"/>
      </rPr>
      <t>需求完成预估迭代评估填写，其中有</t>
    </r>
    <r>
      <rPr>
        <b/>
        <sz val="11"/>
        <color rgb="FFFF0000"/>
        <rFont val="微软雅黑"/>
        <charset val="134"/>
      </rPr>
      <t>7条</t>
    </r>
    <r>
      <rPr>
        <sz val="11"/>
        <color rgb="FF000000"/>
        <rFont val="微软雅黑"/>
        <charset val="134"/>
      </rPr>
      <t>预估迭代内容已由技术负责人确认。已完成预估迭代评估需求数占总需求量的</t>
    </r>
    <r>
      <rPr>
        <b/>
        <sz val="11"/>
        <color rgb="FFFF0000"/>
        <rFont val="微软雅黑"/>
        <charset val="134"/>
      </rPr>
      <t>51.7%</t>
    </r>
    <r>
      <rPr>
        <sz val="11"/>
        <color rgb="FF000000"/>
        <rFont val="微软雅黑"/>
        <charset val="134"/>
      </rPr>
      <t>。
二、</t>
    </r>
    <r>
      <rPr>
        <b/>
        <sz val="11"/>
        <color rgb="FF000000"/>
        <rFont val="微软雅黑"/>
        <charset val="134"/>
      </rPr>
      <t>待办事项：</t>
    </r>
    <r>
      <rPr>
        <sz val="11"/>
        <color rgb="FF000000"/>
        <rFont val="微软雅黑"/>
        <charset val="134"/>
      </rPr>
      <t xml:space="preserve">
1. 无</t>
    </r>
  </si>
  <si>
    <r>
      <rPr>
        <b/>
        <sz val="11"/>
        <color rgb="FF000000"/>
        <rFont val="微软雅黑"/>
        <charset val="134"/>
      </rPr>
      <t xml:space="preserve">一、进展总结
</t>
    </r>
    <r>
      <rPr>
        <sz val="11"/>
        <color rgb="FF000000"/>
        <rFont val="微软雅黑"/>
        <charset val="134"/>
      </rPr>
      <t xml:space="preserve">共收到31条业务需求，其中2条采购需求，待评估29条需求。
1. </t>
    </r>
    <r>
      <rPr>
        <b/>
        <sz val="11"/>
        <color rgb="FF000000"/>
        <rFont val="微软雅黑"/>
        <charset val="134"/>
      </rPr>
      <t>BRD准入评估：</t>
    </r>
    <r>
      <rPr>
        <sz val="11"/>
        <color rgb="FF000000"/>
        <rFont val="微软雅黑"/>
        <charset val="134"/>
      </rPr>
      <t>29条需求已全部沟通完毕，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需求纳入评估</t>
    </r>
    <r>
      <rPr>
        <sz val="11"/>
        <color rgb="FF000000"/>
        <rFont val="微软雅黑"/>
        <charset val="134"/>
      </rPr>
      <t>：已完成</t>
    </r>
    <r>
      <rPr>
        <b/>
        <sz val="11"/>
        <color rgb="FFFF0000"/>
        <rFont val="微软雅黑"/>
        <charset val="134"/>
      </rPr>
      <t>26条</t>
    </r>
    <r>
      <rPr>
        <sz val="11"/>
        <color rgb="FF000000"/>
        <rFont val="微软雅黑"/>
        <charset val="134"/>
      </rPr>
      <t>（19条拟纳入，7条不纳入），剩余</t>
    </r>
    <r>
      <rPr>
        <b/>
        <sz val="11"/>
        <color rgb="FFFF0000"/>
        <rFont val="微软雅黑"/>
        <charset val="134"/>
      </rPr>
      <t>3条</t>
    </r>
    <r>
      <rPr>
        <sz val="11"/>
        <color rgb="FF000000"/>
        <rFont val="微软雅黑"/>
        <charset val="134"/>
      </rPr>
      <t>在评估沟通中，需求纳入完成百分比</t>
    </r>
    <r>
      <rPr>
        <b/>
        <sz val="11"/>
        <color rgb="FFFF0000"/>
        <rFont val="微软雅黑"/>
        <charset val="134"/>
      </rPr>
      <t>90%</t>
    </r>
    <r>
      <rPr>
        <sz val="11"/>
        <color rgb="FF000000"/>
        <rFont val="微软雅黑"/>
        <charset val="134"/>
      </rPr>
      <t xml:space="preserve">（=26/29）。
</t>
    </r>
    <r>
      <rPr>
        <b/>
        <sz val="11"/>
        <color rgb="FF000000"/>
        <rFont val="微软雅黑"/>
        <charset val="134"/>
      </rPr>
      <t xml:space="preserve">3. 预估迭代评估：
</t>
    </r>
    <r>
      <rPr>
        <sz val="11"/>
        <color rgb="FF000000"/>
        <rFont val="微软雅黑"/>
        <charset val="134"/>
      </rPr>
      <t>a. 19条拟纳入需求已完成</t>
    </r>
    <r>
      <rPr>
        <b/>
        <sz val="11"/>
        <color rgb="FFFF0000"/>
        <rFont val="微软雅黑"/>
        <charset val="134"/>
      </rPr>
      <t>11条</t>
    </r>
    <r>
      <rPr>
        <sz val="11"/>
        <color rgb="FF000000"/>
        <rFont val="微软雅黑"/>
        <charset val="134"/>
      </rPr>
      <t>评估，其中</t>
    </r>
    <r>
      <rPr>
        <b/>
        <sz val="11"/>
        <color rgb="FFFF0000"/>
        <rFont val="微软雅黑"/>
        <charset val="134"/>
      </rPr>
      <t>6条</t>
    </r>
    <r>
      <rPr>
        <sz val="11"/>
        <color rgb="FF000000"/>
        <rFont val="微软雅黑"/>
        <charset val="134"/>
      </rPr>
      <t>预估迭代内容已由技术负责人确认。
b. 已完成预估迭代评估百分比为</t>
    </r>
    <r>
      <rPr>
        <b/>
        <sz val="11"/>
        <color rgb="FFFF0000"/>
        <rFont val="微软雅黑"/>
        <charset val="134"/>
      </rPr>
      <t>58%</t>
    </r>
    <r>
      <rPr>
        <sz val="11"/>
        <color rgb="FF000000"/>
        <rFont val="微软雅黑"/>
        <charset val="134"/>
      </rPr>
      <t>（=11/19），技术负责人确认百分比为</t>
    </r>
    <r>
      <rPr>
        <b/>
        <sz val="11"/>
        <color rgb="FFFF0000"/>
        <rFont val="微软雅黑"/>
        <charset val="134"/>
      </rPr>
      <t>32%</t>
    </r>
    <r>
      <rPr>
        <sz val="11"/>
        <color rgb="FF000000"/>
        <rFont val="微软雅黑"/>
        <charset val="134"/>
      </rPr>
      <t>（=6/19）。
二、</t>
    </r>
    <r>
      <rPr>
        <b/>
        <sz val="11"/>
        <color rgb="FF000000"/>
        <rFont val="微软雅黑"/>
        <charset val="134"/>
      </rPr>
      <t>风险提示：</t>
    </r>
    <r>
      <rPr>
        <sz val="11"/>
        <color rgb="FF000000"/>
        <rFont val="微软雅黑"/>
        <charset val="134"/>
      </rPr>
      <t xml:space="preserve">
1. 针对交易相关的</t>
    </r>
    <r>
      <rPr>
        <b/>
        <sz val="11"/>
        <color rgb="FFFF0000"/>
        <rFont val="微软雅黑"/>
        <charset val="134"/>
      </rPr>
      <t>12条</t>
    </r>
    <r>
      <rPr>
        <sz val="11"/>
        <color rgb="FF000000"/>
        <rFont val="微软雅黑"/>
        <charset val="134"/>
      </rPr>
      <t xml:space="preserve">需求，产品和技术尚未达成任何确认，集中度过高，下周工作积压风险较大
</t>
    </r>
  </si>
  <si>
    <r>
      <rPr>
        <b/>
        <sz val="11"/>
        <color rgb="FF000000"/>
        <rFont val="微软雅黑"/>
        <charset val="134"/>
      </rPr>
      <t xml:space="preserve">一、进展总结
</t>
    </r>
    <r>
      <rPr>
        <sz val="11"/>
        <color rgb="FF000000"/>
        <rFont val="微软雅黑"/>
        <charset val="134"/>
      </rPr>
      <t xml:space="preserve">共收到31条业务需求，其中2条采购需求，待评估29条需求。
1. </t>
    </r>
    <r>
      <rPr>
        <b/>
        <sz val="11"/>
        <color rgb="FF000000"/>
        <rFont val="微软雅黑"/>
        <charset val="134"/>
      </rPr>
      <t>BRD准入评估：</t>
    </r>
    <r>
      <rPr>
        <sz val="11"/>
        <color rgb="FF000000"/>
        <rFont val="微软雅黑"/>
        <charset val="134"/>
      </rPr>
      <t>29条需求已全部沟通完毕，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需求纳入评估</t>
    </r>
    <r>
      <rPr>
        <sz val="11"/>
        <color rgb="FF000000"/>
        <rFont val="微软雅黑"/>
        <charset val="134"/>
      </rPr>
      <t>：已完成</t>
    </r>
    <r>
      <rPr>
        <b/>
        <sz val="11"/>
        <color rgb="FFFF0000"/>
        <rFont val="微软雅黑"/>
        <charset val="134"/>
      </rPr>
      <t>26条</t>
    </r>
    <r>
      <rPr>
        <sz val="11"/>
        <color rgb="FF000000"/>
        <rFont val="微软雅黑"/>
        <charset val="134"/>
      </rPr>
      <t>（16条拟纳入，10条不纳入），剩余</t>
    </r>
    <r>
      <rPr>
        <b/>
        <sz val="11"/>
        <color rgb="FFFF0000"/>
        <rFont val="微软雅黑"/>
        <charset val="134"/>
      </rPr>
      <t>3条</t>
    </r>
    <r>
      <rPr>
        <sz val="11"/>
        <color rgb="FF000000"/>
        <rFont val="微软雅黑"/>
        <charset val="134"/>
      </rPr>
      <t>在评估沟通中，需求纳入完成百分比</t>
    </r>
    <r>
      <rPr>
        <b/>
        <sz val="11"/>
        <color rgb="FFFF0000"/>
        <rFont val="微软雅黑"/>
        <charset val="134"/>
      </rPr>
      <t>90%</t>
    </r>
    <r>
      <rPr>
        <sz val="11"/>
        <color rgb="FF000000"/>
        <rFont val="微软雅黑"/>
        <charset val="134"/>
      </rPr>
      <t xml:space="preserve">（=26/29）。
</t>
    </r>
    <r>
      <rPr>
        <b/>
        <sz val="11"/>
        <color rgb="FF000000"/>
        <rFont val="微软雅黑"/>
        <charset val="134"/>
      </rPr>
      <t xml:space="preserve">3. 预估迭代评估：
</t>
    </r>
    <r>
      <rPr>
        <sz val="11"/>
        <color rgb="FF000000"/>
        <rFont val="微软雅黑"/>
        <charset val="134"/>
      </rPr>
      <t>a. 16条拟纳入需求已完成</t>
    </r>
    <r>
      <rPr>
        <b/>
        <sz val="11"/>
        <color rgb="FFFF0000"/>
        <rFont val="微软雅黑"/>
        <charset val="134"/>
      </rPr>
      <t>10条</t>
    </r>
    <r>
      <rPr>
        <sz val="11"/>
        <color rgb="FF000000"/>
        <rFont val="微软雅黑"/>
        <charset val="134"/>
      </rPr>
      <t>评估，其中</t>
    </r>
    <r>
      <rPr>
        <b/>
        <sz val="11"/>
        <color rgb="FFFF0000"/>
        <rFont val="微软雅黑"/>
        <charset val="134"/>
      </rPr>
      <t>9条</t>
    </r>
    <r>
      <rPr>
        <sz val="11"/>
        <color rgb="FF000000"/>
        <rFont val="微软雅黑"/>
        <charset val="134"/>
      </rPr>
      <t>预估迭代内容已由技术负责人确认。
b. 已完成预估迭代评估百分比为</t>
    </r>
    <r>
      <rPr>
        <b/>
        <sz val="11"/>
        <color rgb="FFFF0000"/>
        <rFont val="微软雅黑"/>
        <charset val="134"/>
      </rPr>
      <t>63%</t>
    </r>
    <r>
      <rPr>
        <sz val="11"/>
        <color rgb="FF000000"/>
        <rFont val="微软雅黑"/>
        <charset val="134"/>
      </rPr>
      <t>（=10/16），技术负责人确认百分比为</t>
    </r>
    <r>
      <rPr>
        <b/>
        <sz val="11"/>
        <color rgb="FFFF0000"/>
        <rFont val="微软雅黑"/>
        <charset val="134"/>
      </rPr>
      <t>56%</t>
    </r>
    <r>
      <rPr>
        <sz val="11"/>
        <color rgb="FF000000"/>
        <rFont val="微软雅黑"/>
        <charset val="134"/>
      </rPr>
      <t>（=9/16）。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</si>
  <si>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t>
    </r>
    <r>
      <rPr>
        <sz val="11"/>
        <color rgb="FF000000"/>
        <rFont val="微软雅黑"/>
        <charset val="134"/>
      </rPr>
      <t xml:space="preserve">共收到31条业务需求，其中2条采购需求，待评估29条需求。
1. </t>
    </r>
    <r>
      <rPr>
        <b/>
        <sz val="11"/>
        <color rgb="FF000000"/>
        <rFont val="微软雅黑"/>
        <charset val="134"/>
      </rPr>
      <t>BRD准入评估：</t>
    </r>
    <r>
      <rPr>
        <sz val="11"/>
        <color rgb="FF000000"/>
        <rFont val="微软雅黑"/>
        <charset val="134"/>
      </rPr>
      <t>29条需求已全部沟通完毕，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需求纳入评估</t>
    </r>
    <r>
      <rPr>
        <sz val="11"/>
        <color rgb="FF000000"/>
        <rFont val="微软雅黑"/>
        <charset val="134"/>
      </rPr>
      <t>：已完成</t>
    </r>
    <r>
      <rPr>
        <b/>
        <sz val="11"/>
        <color rgb="FFFF0000"/>
        <rFont val="微软雅黑"/>
        <charset val="134"/>
      </rPr>
      <t>29条</t>
    </r>
    <r>
      <rPr>
        <sz val="11"/>
        <color rgb="FF000000"/>
        <rFont val="微软雅黑"/>
        <charset val="134"/>
      </rPr>
      <t>（17条拟纳入，12条不纳入），需求纳入完成百分比</t>
    </r>
    <r>
      <rPr>
        <b/>
        <sz val="11"/>
        <color rgb="FFFF0000"/>
        <rFont val="微软雅黑"/>
        <charset val="134"/>
      </rPr>
      <t>100%</t>
    </r>
    <r>
      <rPr>
        <sz val="11"/>
        <color rgb="FF000000"/>
        <rFont val="微软雅黑"/>
        <charset val="134"/>
      </rPr>
      <t xml:space="preserve">（=29/29）。
</t>
    </r>
    <r>
      <rPr>
        <b/>
        <sz val="11"/>
        <color rgb="FF000000"/>
        <rFont val="微软雅黑"/>
        <charset val="134"/>
      </rPr>
      <t xml:space="preserve">3. 预估迭代评估：
</t>
    </r>
    <r>
      <rPr>
        <sz val="11"/>
        <color rgb="FF000000"/>
        <rFont val="微软雅黑"/>
        <charset val="134"/>
      </rPr>
      <t>a. 17条拟纳入需求已完成</t>
    </r>
    <r>
      <rPr>
        <b/>
        <sz val="11"/>
        <color rgb="FFFF0000"/>
        <rFont val="微软雅黑"/>
        <charset val="134"/>
      </rPr>
      <t>16条</t>
    </r>
    <r>
      <rPr>
        <sz val="11"/>
        <color rgb="FF000000"/>
        <rFont val="微软雅黑"/>
        <charset val="134"/>
      </rPr>
      <t>评估，其中</t>
    </r>
    <r>
      <rPr>
        <b/>
        <sz val="11"/>
        <color rgb="FFFF0000"/>
        <rFont val="微软雅黑"/>
        <charset val="134"/>
      </rPr>
      <t>11条</t>
    </r>
    <r>
      <rPr>
        <sz val="11"/>
        <color rgb="FF000000"/>
        <rFont val="微软雅黑"/>
        <charset val="134"/>
      </rPr>
      <t>预估迭代内容已由技术负责人确认。
b. 已完成预估迭代评估百分比为</t>
    </r>
    <r>
      <rPr>
        <b/>
        <sz val="11"/>
        <color rgb="FFFF0000"/>
        <rFont val="微软雅黑"/>
        <charset val="134"/>
      </rPr>
      <t>94%</t>
    </r>
    <r>
      <rPr>
        <sz val="11"/>
        <color rgb="FF000000"/>
        <rFont val="微软雅黑"/>
        <charset val="134"/>
      </rPr>
      <t>（=16/17），技术负责人确认百分比为</t>
    </r>
    <r>
      <rPr>
        <b/>
        <sz val="11"/>
        <color rgb="FFFF0000"/>
        <rFont val="微软雅黑"/>
        <charset val="134"/>
      </rPr>
      <t>65%</t>
    </r>
    <r>
      <rPr>
        <sz val="11"/>
        <color rgb="FF000000"/>
        <rFont val="微软雅黑"/>
        <charset val="134"/>
      </rPr>
      <t>（=11/17）。
c. 12条不纳入的需求，其中</t>
    </r>
    <r>
      <rPr>
        <b/>
        <sz val="11"/>
        <color rgb="FFFF0000"/>
        <rFont val="微软雅黑"/>
        <charset val="134"/>
      </rPr>
      <t>6条</t>
    </r>
    <r>
      <rPr>
        <sz val="11"/>
        <color rgb="FF000000"/>
        <rFont val="微软雅黑"/>
        <charset val="134"/>
      </rPr>
      <t>已完成理由说明，完成率</t>
    </r>
    <r>
      <rPr>
        <b/>
        <sz val="11"/>
        <color rgb="FFFF0000"/>
        <rFont val="微软雅黑"/>
        <charset val="134"/>
      </rPr>
      <t>50%</t>
    </r>
    <r>
      <rPr>
        <b/>
        <sz val="11"/>
        <color rgb="FF000000"/>
        <rFont val="微软雅黑"/>
        <charset val="134"/>
      </rPr>
      <t>。</t>
    </r>
    <r>
      <rPr>
        <sz val="11"/>
        <color rgb="FF000000"/>
        <rFont val="微软雅黑"/>
        <charset val="134"/>
      </rPr>
      <t xml:space="preserve">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</si>
  <si>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t>
    </r>
    <r>
      <rPr>
        <sz val="11"/>
        <color rgb="FF000000"/>
        <rFont val="微软雅黑"/>
        <charset val="134"/>
      </rPr>
      <t xml:space="preserve">共收到31条业务需求，其中2条采购需求，待评估29条需求。
1. </t>
    </r>
    <r>
      <rPr>
        <b/>
        <sz val="11"/>
        <color rgb="FF000000"/>
        <rFont val="微软雅黑"/>
        <charset val="134"/>
      </rPr>
      <t>BRD准入评估：</t>
    </r>
    <r>
      <rPr>
        <sz val="11"/>
        <color rgb="FF000000"/>
        <rFont val="微软雅黑"/>
        <charset val="134"/>
      </rPr>
      <t>29条需求已全部沟通完毕，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需求纳入评估</t>
    </r>
    <r>
      <rPr>
        <sz val="11"/>
        <color rgb="FF000000"/>
        <rFont val="微软雅黑"/>
        <charset val="134"/>
      </rPr>
      <t>：已完成</t>
    </r>
    <r>
      <rPr>
        <b/>
        <sz val="11"/>
        <color rgb="FFFF0000"/>
        <rFont val="微软雅黑"/>
        <charset val="134"/>
      </rPr>
      <t>29条</t>
    </r>
    <r>
      <rPr>
        <sz val="11"/>
        <color rgb="FF000000"/>
        <rFont val="微软雅黑"/>
        <charset val="134"/>
      </rPr>
      <t>（17条拟纳入，12条不纳入），需求纳入完成百分比</t>
    </r>
    <r>
      <rPr>
        <b/>
        <sz val="11"/>
        <color rgb="FFFF0000"/>
        <rFont val="微软雅黑"/>
        <charset val="134"/>
      </rPr>
      <t>100%</t>
    </r>
    <r>
      <rPr>
        <sz val="11"/>
        <color rgb="FF000000"/>
        <rFont val="微软雅黑"/>
        <charset val="134"/>
      </rPr>
      <t xml:space="preserve">（=29/29）。
</t>
    </r>
    <r>
      <rPr>
        <b/>
        <sz val="11"/>
        <color rgb="FF000000"/>
        <rFont val="微软雅黑"/>
        <charset val="134"/>
      </rPr>
      <t xml:space="preserve">3. 预估迭代评估：
</t>
    </r>
    <r>
      <rPr>
        <sz val="11"/>
        <color rgb="FF000000"/>
        <rFont val="微软雅黑"/>
        <charset val="134"/>
      </rPr>
      <t>a. 17条拟纳入需求已完成</t>
    </r>
    <r>
      <rPr>
        <b/>
        <sz val="11"/>
        <color rgb="FFFF0000"/>
        <rFont val="微软雅黑"/>
        <charset val="134"/>
      </rPr>
      <t>16条</t>
    </r>
    <r>
      <rPr>
        <sz val="11"/>
        <color rgb="FF000000"/>
        <rFont val="微软雅黑"/>
        <charset val="134"/>
      </rPr>
      <t>评估，其中</t>
    </r>
    <r>
      <rPr>
        <b/>
        <sz val="11"/>
        <color rgb="FFFF0000"/>
        <rFont val="微软雅黑"/>
        <charset val="134"/>
      </rPr>
      <t>16条</t>
    </r>
    <r>
      <rPr>
        <sz val="11"/>
        <color rgb="FF000000"/>
        <rFont val="微软雅黑"/>
        <charset val="134"/>
      </rPr>
      <t>预估迭代内容已由技术负责人确认。
b. 已完成预估迭代评估百分比为</t>
    </r>
    <r>
      <rPr>
        <b/>
        <sz val="11"/>
        <color rgb="FFFF0000"/>
        <rFont val="微软雅黑"/>
        <charset val="134"/>
      </rPr>
      <t>94%</t>
    </r>
    <r>
      <rPr>
        <sz val="11"/>
        <color rgb="FF000000"/>
        <rFont val="微软雅黑"/>
        <charset val="134"/>
      </rPr>
      <t>（=16/17），技术负责人确认百分比为</t>
    </r>
    <r>
      <rPr>
        <b/>
        <sz val="11"/>
        <color rgb="FFFF0000"/>
        <rFont val="微软雅黑"/>
        <charset val="134"/>
      </rPr>
      <t>94%</t>
    </r>
    <r>
      <rPr>
        <sz val="11"/>
        <color rgb="FF000000"/>
        <rFont val="微软雅黑"/>
        <charset val="134"/>
      </rPr>
      <t>（=16/17）。
c. 12条不纳入的需求，已</t>
    </r>
    <r>
      <rPr>
        <b/>
        <sz val="11"/>
        <color rgb="FFFF0000"/>
        <rFont val="微软雅黑"/>
        <charset val="134"/>
      </rPr>
      <t>100%</t>
    </r>
    <r>
      <rPr>
        <sz val="11"/>
        <color rgb="FF000000"/>
        <rFont val="微软雅黑"/>
        <charset val="134"/>
      </rPr>
      <t>完成理由说明填写和检查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</si>
  <si>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t>
    </r>
    <r>
      <rPr>
        <sz val="11"/>
        <color rgb="FF000000"/>
        <rFont val="微软雅黑"/>
        <charset val="134"/>
      </rPr>
      <t>共收到31条业务需求，其中2条采购需求，待评估29条需求。
已按时完成全部评估，完成率</t>
    </r>
    <r>
      <rPr>
        <b/>
        <sz val="11"/>
        <color rgb="FFFF0000"/>
        <rFont val="微软雅黑"/>
        <charset val="134"/>
      </rPr>
      <t>100%</t>
    </r>
    <r>
      <rPr>
        <sz val="11"/>
        <color rgb="FF000000"/>
        <rFont val="微软雅黑"/>
        <charset val="134"/>
      </rPr>
      <t xml:space="preserve">。
1. </t>
    </r>
    <r>
      <rPr>
        <b/>
        <sz val="11"/>
        <color rgb="FF000000"/>
        <rFont val="微软雅黑"/>
        <charset val="134"/>
      </rPr>
      <t>BRD准入评估：</t>
    </r>
    <r>
      <rPr>
        <sz val="11"/>
        <color rgb="FF000000"/>
        <rFont val="微软雅黑"/>
        <charset val="134"/>
      </rPr>
      <t>29条需求已全部沟通完毕，</t>
    </r>
    <r>
      <rPr>
        <b/>
        <sz val="11"/>
        <color rgb="FFFF0000"/>
        <rFont val="微软雅黑"/>
        <charset val="134"/>
      </rPr>
      <t>已全部</t>
    </r>
    <r>
      <rPr>
        <sz val="11"/>
        <color rgb="FF000000"/>
        <rFont val="微软雅黑"/>
        <charset val="134"/>
      </rPr>
      <t xml:space="preserve">符合评估标准。
</t>
    </r>
    <r>
      <rPr>
        <b/>
        <sz val="11"/>
        <color rgb="FF000000"/>
        <rFont val="微软雅黑"/>
        <charset val="134"/>
      </rPr>
      <t>2. 需求纳入评估</t>
    </r>
    <r>
      <rPr>
        <sz val="11"/>
        <color rgb="FF000000"/>
        <rFont val="微软雅黑"/>
        <charset val="134"/>
      </rPr>
      <t>：已完成</t>
    </r>
    <r>
      <rPr>
        <b/>
        <sz val="11"/>
        <color rgb="FFFF0000"/>
        <rFont val="微软雅黑"/>
        <charset val="134"/>
      </rPr>
      <t>29条</t>
    </r>
    <r>
      <rPr>
        <sz val="11"/>
        <color rgb="FF000000"/>
        <rFont val="微软雅黑"/>
        <charset val="134"/>
      </rPr>
      <t>（17条拟纳入，12条不纳入），需求纳入完成百分比</t>
    </r>
    <r>
      <rPr>
        <b/>
        <sz val="11"/>
        <color rgb="FFFF0000"/>
        <rFont val="微软雅黑"/>
        <charset val="134"/>
      </rPr>
      <t>100%</t>
    </r>
    <r>
      <rPr>
        <sz val="11"/>
        <color rgb="FF000000"/>
        <rFont val="微软雅黑"/>
        <charset val="134"/>
      </rPr>
      <t xml:space="preserve">（=29/29）。
</t>
    </r>
    <r>
      <rPr>
        <b/>
        <sz val="11"/>
        <color rgb="FF000000"/>
        <rFont val="微软雅黑"/>
        <charset val="134"/>
      </rPr>
      <t xml:space="preserve">3. 预估迭代评估：
</t>
    </r>
    <r>
      <rPr>
        <sz val="11"/>
        <color rgb="FF000000"/>
        <rFont val="微软雅黑"/>
        <charset val="134"/>
      </rPr>
      <t>a. 17条拟纳入需求已完成</t>
    </r>
    <r>
      <rPr>
        <b/>
        <sz val="11"/>
        <color rgb="FFFF0000"/>
        <rFont val="微软雅黑"/>
        <charset val="134"/>
      </rPr>
      <t>17条</t>
    </r>
    <r>
      <rPr>
        <sz val="11"/>
        <color rgb="FF000000"/>
        <rFont val="微软雅黑"/>
        <charset val="134"/>
      </rPr>
      <t>评估，其中</t>
    </r>
    <r>
      <rPr>
        <b/>
        <sz val="11"/>
        <color rgb="FFFF0000"/>
        <rFont val="微软雅黑"/>
        <charset val="134"/>
      </rPr>
      <t>17条</t>
    </r>
    <r>
      <rPr>
        <sz val="11"/>
        <color rgb="FF000000"/>
        <rFont val="微软雅黑"/>
        <charset val="134"/>
      </rPr>
      <t>预估迭代内容已由技术负责人确认。
b. 已完成预估迭代评估百分比为</t>
    </r>
    <r>
      <rPr>
        <b/>
        <sz val="11"/>
        <color rgb="FFFF0000"/>
        <rFont val="微软雅黑"/>
        <charset val="134"/>
      </rPr>
      <t>100%</t>
    </r>
    <r>
      <rPr>
        <sz val="11"/>
        <color rgb="FF000000"/>
        <rFont val="微软雅黑"/>
        <charset val="134"/>
      </rPr>
      <t>（=17/17），技术负责人确认百分比为</t>
    </r>
    <r>
      <rPr>
        <b/>
        <sz val="11"/>
        <color rgb="FFFF0000"/>
        <rFont val="微软雅黑"/>
        <charset val="134"/>
      </rPr>
      <t>100%</t>
    </r>
    <r>
      <rPr>
        <sz val="11"/>
        <color rgb="FF000000"/>
        <rFont val="微软雅黑"/>
        <charset val="134"/>
      </rPr>
      <t>（=17/17）。
c. 12条不纳入的需求，已</t>
    </r>
    <r>
      <rPr>
        <b/>
        <sz val="11"/>
        <color rgb="FFFF0000"/>
        <rFont val="微软雅黑"/>
        <charset val="134"/>
      </rPr>
      <t>100%</t>
    </r>
    <r>
      <rPr>
        <sz val="11"/>
        <color rgb="FF000000"/>
        <rFont val="微软雅黑"/>
        <charset val="134"/>
      </rPr>
      <t>完成理由说明填写和检查
二、</t>
    </r>
    <r>
      <rPr>
        <b/>
        <sz val="11"/>
        <color rgb="FF000000"/>
        <rFont val="微软雅黑"/>
        <charset val="134"/>
      </rPr>
      <t>风险提示：</t>
    </r>
    <r>
      <rPr>
        <sz val="11"/>
        <color rgb="FF000000"/>
        <rFont val="微软雅黑"/>
        <charset val="134"/>
      </rPr>
      <t xml:space="preserve">
1. 无</t>
    </r>
  </si>
  <si>
    <t>向业务反馈未达到准入的需求列表，启动需求澄清</t>
  </si>
  <si>
    <t>针对未达到准入标准的BRD，与业务沟通澄清</t>
  </si>
  <si>
    <t>跟进未达准入BRD的澄清进度
协调产品和研发对齐工作节奏</t>
  </si>
  <si>
    <t>筛选出本迭代肯定排不了的需求（BRD满足准入）</t>
  </si>
  <si>
    <t>协助产品团队完成本迭代肯定排不了的需求列表筛选</t>
  </si>
  <si>
    <r>
      <rPr>
        <b/>
        <sz val="11"/>
        <color rgb="FF000000"/>
        <rFont val="微软雅黑"/>
        <charset val="134"/>
      </rPr>
      <t>进度跟踪：</t>
    </r>
    <r>
      <rPr>
        <sz val="11"/>
        <color rgb="FF000000"/>
        <rFont val="微软雅黑"/>
        <charset val="134"/>
      </rPr>
      <t xml:space="preserve">
1. 每日跟踪各团队工作进展</t>
    </r>
  </si>
  <si>
    <r>
      <rPr>
        <b/>
        <sz val="11"/>
        <color rgb="FF000000"/>
        <rFont val="微软雅黑"/>
        <charset val="134"/>
      </rPr>
      <t>BRD评估：</t>
    </r>
    <r>
      <rPr>
        <sz val="11"/>
        <color rgb="FF000000"/>
        <rFont val="微软雅黑"/>
        <charset val="134"/>
      </rPr>
      <t xml:space="preserve">
1.登记是否纳入交付
2.登记预估迭代内容</t>
    </r>
  </si>
  <si>
    <r>
      <rPr>
        <b/>
        <sz val="11"/>
        <color rgb="FF000000"/>
        <rFont val="微软雅黑"/>
        <charset val="134"/>
      </rPr>
      <t>BRD评估：</t>
    </r>
    <r>
      <rPr>
        <sz val="11"/>
        <color rgb="FF000000"/>
        <rFont val="微软雅黑"/>
        <charset val="134"/>
      </rPr>
      <t xml:space="preserve">
1. 研发侧交付评估，与产品一起完成BRD评估
2. 确认产品团队登记的预估迭代内容</t>
    </r>
  </si>
  <si>
    <t>向固收反馈BRD评估结果</t>
  </si>
  <si>
    <t>迭代排期阶段</t>
  </si>
  <si>
    <t>组织需求澄清过程，发起会邀</t>
  </si>
  <si>
    <t>明确本迭代各模块具体交付内容</t>
  </si>
  <si>
    <t>向研发做需求澄清</t>
  </si>
  <si>
    <t>参与需求澄清</t>
  </si>
  <si>
    <t>向研发需求澄清</t>
  </si>
  <si>
    <t>需求澄清结果反馈</t>
  </si>
  <si>
    <t>研发阶段.....</t>
  </si>
  <si>
    <t>监督需求澄清反馈结果</t>
  </si>
  <si>
    <t>1.需求澄清结果反馈
2.启动本迭代研发</t>
  </si>
  <si>
    <t>......</t>
  </si>
</sst>
</file>

<file path=xl/styles.xml><?xml version="1.0" encoding="utf-8"?>
<styleSheet xmlns="http://schemas.openxmlformats.org/spreadsheetml/2006/main">
  <numFmts count="37">
    <numFmt numFmtId="176" formatCode="[=1]&quot;☑&quot;;[=0]&quot;☐&quot;;0;@"/>
    <numFmt numFmtId="177" formatCode="[DBNum1][$-804]yyyy&quot;年&quot;m&quot;月&quot;"/>
    <numFmt numFmtId="178" formatCode="\¥#,##0.00;[Red]\¥\-#,##0.00"/>
    <numFmt numFmtId="23" formatCode="\$#,##0_);\(\$#,##0\)"/>
    <numFmt numFmtId="179" formatCode="#\ ??/??"/>
    <numFmt numFmtId="180" formatCode="mmmm\-yy"/>
    <numFmt numFmtId="5" formatCode="&quot;￥&quot;#,##0;&quot;￥&quot;\-#,##0"/>
    <numFmt numFmtId="24" formatCode="\$#,##0_);[Red]\(\$#,##0\)"/>
    <numFmt numFmtId="7" formatCode="&quot;￥&quot;#,##0.00;&quot;￥&quot;\-#,##0.00"/>
    <numFmt numFmtId="6" formatCode="&quot;￥&quot;#,##0;[Red]&quot;￥&quot;\-#,##0"/>
    <numFmt numFmtId="181" formatCode="[DBNum1][$-804]yyyy&quot;年&quot;m&quot;月&quot;d&quot;日&quot;"/>
    <numFmt numFmtId="182" formatCode="[DBNum1]上午/下午h&quot;时&quot;mm&quot;分&quot;"/>
    <numFmt numFmtId="183" formatCode="[DBNum1]h&quot;时&quot;mm&quot;分&quot;"/>
    <numFmt numFmtId="184" formatCode="[DBNum1][$-804]m&quot;月&quot;d&quot;日&quot;"/>
    <numFmt numFmtId="8" formatCode="&quot;￥&quot;#,##0.00;[Red]&quot;￥&quot;\-#,##0.00"/>
    <numFmt numFmtId="185" formatCode="mmmmm\-yy"/>
    <numFmt numFmtId="26" formatCode="\$#,##0.00_);[Red]\(\$#,##0.00\)"/>
    <numFmt numFmtId="186" formatCode="[$-804]aaaa"/>
    <numFmt numFmtId="187" formatCode="yyyy/m/d\ h:mm\ AM/PM"/>
    <numFmt numFmtId="188" formatCode="yy/m/d"/>
    <numFmt numFmtId="189" formatCode="m/d"/>
    <numFmt numFmtId="190" formatCode="mmmmm"/>
    <numFmt numFmtId="191" formatCode="h:mm\ AM/PM"/>
    <numFmt numFmtId="192" formatCode="\¥#,##0;\¥\-#,##0"/>
    <numFmt numFmtId="193" formatCode="#\ ??"/>
    <numFmt numFmtId="194" formatCode="[$-804]aaa"/>
    <numFmt numFmtId="195" formatCode="h:mm:ss\ AM/PM"/>
    <numFmt numFmtId="196" formatCode="\¥#,##0.00;\¥\-#,##0.00"/>
    <numFmt numFmtId="44" formatCode="_ &quot;￥&quot;* #,##0.00_ ;_ &quot;￥&quot;* \-#,##0.00_ ;_ &quot;￥&quot;* &quot;-&quot;??_ ;_ @_ "/>
    <numFmt numFmtId="197" formatCode="#\ ?/?"/>
    <numFmt numFmtId="42" formatCode="_ &quot;￥&quot;* #,##0_ ;_ &quot;￥&quot;* \-#,##0_ ;_ &quot;￥&quot;* &quot;-&quot;_ ;_ @_ "/>
    <numFmt numFmtId="43" formatCode="_ * #,##0.00_ ;_ * \-#,##0.00_ ;_ * &quot;-&quot;??_ ;_ @_ "/>
    <numFmt numFmtId="25" formatCode="\$#,##0.00_);\(\$#,##0.00\)"/>
    <numFmt numFmtId="198" formatCode="dd\-mmm\-yy"/>
    <numFmt numFmtId="199" formatCode="mm/dd/yy"/>
    <numFmt numFmtId="41" formatCode="_ * #,##0_ ;_ * \-#,##0_ ;_ * &quot;-&quot;_ ;_ @_ "/>
    <numFmt numFmtId="200" formatCode="\¥#,##0;[Red]\¥\-#,##0"/>
  </numFmts>
  <fonts count="43">
    <font>
      <sz val="11"/>
      <color theme="1"/>
      <name val="宋体"/>
      <charset val="134"/>
      <scheme val="minor"/>
    </font>
    <font>
      <sz val="11"/>
      <color theme="1"/>
      <name val="微软雅黑"/>
      <charset val="134"/>
    </font>
    <font>
      <b/>
      <sz val="11"/>
      <color rgb="FFFFFFFF"/>
      <name val="微软雅黑"/>
      <charset val="134"/>
    </font>
    <font>
      <b/>
      <sz val="11"/>
      <color rgb="FF000000"/>
      <name val="微软雅黑"/>
      <charset val="134"/>
    </font>
    <font>
      <sz val="11"/>
      <color rgb="FF000000"/>
      <name val="微软雅黑"/>
      <charset val="134"/>
    </font>
    <font>
      <b/>
      <sz val="11"/>
      <color theme="1"/>
      <name val="微软雅黑"/>
      <charset val="134"/>
    </font>
    <font>
      <b/>
      <sz val="12"/>
      <color rgb="FF000000"/>
      <name val="微软雅黑"/>
      <charset val="134"/>
    </font>
    <font>
      <sz val="12"/>
      <color rgb="FF000000"/>
      <name val="微软雅黑"/>
      <charset val="134"/>
    </font>
    <font>
      <b/>
      <sz val="12"/>
      <color rgb="FFFFFFFF"/>
      <name val="微软雅黑"/>
      <charset val="134"/>
    </font>
    <font>
      <sz val="12"/>
      <color rgb="FFFFFFFF"/>
      <name val="微软雅黑"/>
      <charset val="134"/>
    </font>
    <font>
      <sz val="11"/>
      <color rgb="FF0000FF"/>
      <name val="微软雅黑"/>
      <charset val="0"/>
    </font>
    <font>
      <sz val="11"/>
      <color rgb="FF0000FF"/>
      <name val="微软雅黑"/>
      <charset val="134"/>
    </font>
    <font>
      <sz val="11"/>
      <color rgb="FFFF0000"/>
      <name val="微软雅黑"/>
      <charset val="134"/>
    </font>
    <font>
      <u/>
      <sz val="11"/>
      <color rgb="FF0000FF"/>
      <name val="微软雅黑"/>
      <charset val="134"/>
    </font>
    <font>
      <u/>
      <sz val="10.5"/>
      <color rgb="FF0000FF"/>
      <name val="宋体"/>
      <charset val="134"/>
      <scheme val="minor"/>
    </font>
    <font>
      <sz val="11"/>
      <color rgb="FF172B4D"/>
      <name val="微软雅黑"/>
      <charset val="134"/>
    </font>
    <font>
      <u/>
      <sz val="11"/>
      <color rgb="FF0000FF"/>
      <name val="微软雅黑"/>
      <charset val="0"/>
    </font>
    <font>
      <sz val="10"/>
      <color theme="1"/>
      <name val="微软雅黑"/>
      <charset val="134"/>
    </font>
    <font>
      <sz val="10"/>
      <color rgb="FF0000FF"/>
      <name val="微软雅黑"/>
      <charset val="134"/>
    </font>
    <font>
      <sz val="10"/>
      <color rgb="FF000000"/>
      <name val="微软雅黑"/>
      <charset val="134"/>
    </font>
    <font>
      <b/>
      <sz val="11"/>
      <color rgb="FFC00000"/>
      <name val="微软雅黑"/>
      <charset val="134"/>
    </font>
    <font>
      <sz val="11"/>
      <color theme="0"/>
      <name val="宋体"/>
      <charset val="0"/>
      <scheme val="minor"/>
    </font>
    <font>
      <sz val="11"/>
      <color theme="1"/>
      <name val="宋体"/>
      <charset val="0"/>
      <scheme val="minor"/>
    </font>
    <font>
      <sz val="11"/>
      <color rgb="FF9C0006"/>
      <name val="宋体"/>
      <charset val="0"/>
      <scheme val="minor"/>
    </font>
    <font>
      <b/>
      <sz val="13"/>
      <color theme="3"/>
      <name val="宋体"/>
      <charset val="134"/>
      <scheme val="minor"/>
    </font>
    <font>
      <b/>
      <sz val="11"/>
      <color theme="3"/>
      <name val="宋体"/>
      <charset val="134"/>
      <scheme val="minor"/>
    </font>
    <font>
      <sz val="11"/>
      <color rgb="FF006100"/>
      <name val="宋体"/>
      <charset val="0"/>
      <scheme val="minor"/>
    </font>
    <font>
      <b/>
      <sz val="15"/>
      <color theme="3"/>
      <name val="宋体"/>
      <charset val="134"/>
      <scheme val="minor"/>
    </font>
    <font>
      <b/>
      <sz val="18"/>
      <color theme="3"/>
      <name val="宋体"/>
      <charset val="134"/>
      <scheme val="minor"/>
    </font>
    <font>
      <u/>
      <sz val="11"/>
      <color rgb="FF800080"/>
      <name val="宋体"/>
      <charset val="0"/>
      <scheme val="minor"/>
    </font>
    <font>
      <i/>
      <sz val="11"/>
      <color rgb="FF7F7F7F"/>
      <name val="宋体"/>
      <charset val="0"/>
      <scheme val="minor"/>
    </font>
    <font>
      <b/>
      <sz val="11"/>
      <color rgb="FF3F3F3F"/>
      <name val="宋体"/>
      <charset val="0"/>
      <scheme val="minor"/>
    </font>
    <font>
      <sz val="11"/>
      <color rgb="FF9C6500"/>
      <name val="宋体"/>
      <charset val="0"/>
      <scheme val="minor"/>
    </font>
    <font>
      <b/>
      <sz val="11"/>
      <color rgb="FFFA7D00"/>
      <name val="宋体"/>
      <charset val="0"/>
      <scheme val="minor"/>
    </font>
    <font>
      <b/>
      <sz val="11"/>
      <color theme="1"/>
      <name val="宋体"/>
      <charset val="0"/>
      <scheme val="minor"/>
    </font>
    <font>
      <sz val="11"/>
      <color rgb="FF3F3F76"/>
      <name val="宋体"/>
      <charset val="0"/>
      <scheme val="minor"/>
    </font>
    <font>
      <sz val="11"/>
      <color rgb="FFFA7D00"/>
      <name val="宋体"/>
      <charset val="0"/>
      <scheme val="minor"/>
    </font>
    <font>
      <b/>
      <sz val="11"/>
      <color rgb="FFFFFFFF"/>
      <name val="宋体"/>
      <charset val="0"/>
      <scheme val="minor"/>
    </font>
    <font>
      <u/>
      <sz val="11"/>
      <color rgb="FF0000FF"/>
      <name val="宋体"/>
      <charset val="0"/>
      <scheme val="minor"/>
    </font>
    <font>
      <sz val="11"/>
      <color rgb="FFFF0000"/>
      <name val="宋体"/>
      <charset val="0"/>
      <scheme val="minor"/>
    </font>
    <font>
      <b/>
      <sz val="12"/>
      <color rgb="FFFF0000"/>
      <name val="微软雅黑"/>
      <charset val="134"/>
    </font>
    <font>
      <sz val="12"/>
      <color rgb="FFFF0000"/>
      <name val="微软雅黑"/>
      <charset val="134"/>
    </font>
    <font>
      <b/>
      <sz val="11"/>
      <color rgb="FFFF0000"/>
      <name val="微软雅黑"/>
      <charset val="134"/>
    </font>
  </fonts>
  <fills count="49">
    <fill>
      <patternFill patternType="none"/>
    </fill>
    <fill>
      <patternFill patternType="gray125"/>
    </fill>
    <fill>
      <patternFill patternType="solid">
        <fgColor rgb="FF2F5597"/>
        <bgColor indexed="64"/>
      </patternFill>
    </fill>
    <fill>
      <patternFill patternType="solid">
        <fgColor rgb="FFFFFF00"/>
        <bgColor indexed="64"/>
      </patternFill>
    </fill>
    <fill>
      <patternFill patternType="solid">
        <fgColor rgb="FFBDD7EE"/>
        <bgColor indexed="64"/>
      </patternFill>
    </fill>
    <fill>
      <patternFill patternType="solid">
        <fgColor rgb="FF2E75B6"/>
        <bgColor indexed="64"/>
      </patternFill>
    </fill>
    <fill>
      <patternFill patternType="solid">
        <fgColor rgb="FFE2F0D9"/>
        <bgColor indexed="64"/>
      </patternFill>
    </fill>
    <fill>
      <patternFill patternType="solid">
        <fgColor rgb="FF385723"/>
        <bgColor indexed="64"/>
      </patternFill>
    </fill>
    <fill>
      <patternFill patternType="solid">
        <fgColor rgb="FF9DC3E6"/>
        <bgColor indexed="64"/>
      </patternFill>
    </fill>
    <fill>
      <patternFill patternType="solid">
        <fgColor rgb="FFE7E6E6"/>
        <bgColor indexed="64"/>
      </patternFill>
    </fill>
    <fill>
      <patternFill patternType="solid">
        <fgColor rgb="FFBFBFBF"/>
        <bgColor indexed="64"/>
      </patternFill>
    </fill>
    <fill>
      <patternFill patternType="solid">
        <fgColor rgb="FFFFFFFF"/>
        <bgColor indexed="64"/>
      </patternFill>
    </fill>
    <fill>
      <patternFill patternType="solid">
        <fgColor rgb="FF8FAADC"/>
        <bgColor indexed="64"/>
      </patternFill>
    </fill>
    <fill>
      <patternFill patternType="solid">
        <fgColor rgb="FFC5E0B4"/>
        <bgColor indexed="64"/>
      </patternFill>
    </fill>
    <fill>
      <patternFill patternType="solid">
        <fgColor rgb="FFD6DCE4"/>
        <bgColor indexed="64"/>
      </patternFill>
    </fill>
    <fill>
      <patternFill patternType="solid">
        <fgColor rgb="FFF4B183"/>
        <bgColor indexed="64"/>
      </patternFill>
    </fill>
    <fill>
      <patternFill patternType="solid">
        <fgColor rgb="FFED7D31"/>
        <bgColor indexed="64"/>
      </patternFill>
    </fill>
    <fill>
      <patternFill patternType="solid">
        <fgColor rgb="FFAFABAB"/>
        <bgColor indexed="64"/>
      </patternFill>
    </fill>
    <fill>
      <patternFill patternType="solid">
        <fgColor theme="9"/>
        <bgColor indexed="64"/>
      </patternFill>
    </fill>
    <fill>
      <patternFill patternType="solid">
        <fgColor theme="8"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6"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8"/>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599993896298105"/>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21" fillId="42" borderId="0" applyNumberFormat="0" applyBorder="0" applyAlignment="0" applyProtection="0">
      <alignment vertical="center"/>
    </xf>
    <xf numFmtId="0" fontId="22" fillId="34" borderId="0" applyNumberFormat="0" applyBorder="0" applyAlignment="0" applyProtection="0">
      <alignment vertical="center"/>
    </xf>
    <xf numFmtId="0" fontId="21" fillId="45" borderId="0" applyNumberFormat="0" applyBorder="0" applyAlignment="0" applyProtection="0">
      <alignment vertical="center"/>
    </xf>
    <xf numFmtId="0" fontId="35" fillId="40" borderId="23" applyNumberFormat="0" applyAlignment="0" applyProtection="0">
      <alignment vertical="center"/>
    </xf>
    <xf numFmtId="0" fontId="22" fillId="22" borderId="0" applyNumberFormat="0" applyBorder="0" applyAlignment="0" applyProtection="0">
      <alignment vertical="center"/>
    </xf>
    <xf numFmtId="0" fontId="22" fillId="44" borderId="0" applyNumberFormat="0" applyBorder="0" applyAlignment="0" applyProtection="0">
      <alignment vertical="center"/>
    </xf>
    <xf numFmtId="44" fontId="0" fillId="0" borderId="0" applyFont="0" applyFill="0" applyBorder="0" applyAlignment="0" applyProtection="0">
      <alignment vertical="center"/>
    </xf>
    <xf numFmtId="0" fontId="21" fillId="43" borderId="0" applyNumberFormat="0" applyBorder="0" applyAlignment="0" applyProtection="0">
      <alignment vertical="center"/>
    </xf>
    <xf numFmtId="9" fontId="0" fillId="0" borderId="0" applyFont="0" applyFill="0" applyBorder="0" applyAlignment="0" applyProtection="0">
      <alignment vertical="center"/>
    </xf>
    <xf numFmtId="0" fontId="21" fillId="32" borderId="0" applyNumberFormat="0" applyBorder="0" applyAlignment="0" applyProtection="0">
      <alignment vertical="center"/>
    </xf>
    <xf numFmtId="0" fontId="21" fillId="39" borderId="0" applyNumberFormat="0" applyBorder="0" applyAlignment="0" applyProtection="0">
      <alignment vertical="center"/>
    </xf>
    <xf numFmtId="0" fontId="21" fillId="38"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33" fillId="27" borderId="23" applyNumberFormat="0" applyAlignment="0" applyProtection="0">
      <alignment vertical="center"/>
    </xf>
    <xf numFmtId="0" fontId="21" fillId="33" borderId="0" applyNumberFormat="0" applyBorder="0" applyAlignment="0" applyProtection="0">
      <alignment vertical="center"/>
    </xf>
    <xf numFmtId="0" fontId="32" fillId="30" borderId="0" applyNumberFormat="0" applyBorder="0" applyAlignment="0" applyProtection="0">
      <alignment vertical="center"/>
    </xf>
    <xf numFmtId="0" fontId="22" fillId="31" borderId="0" applyNumberFormat="0" applyBorder="0" applyAlignment="0" applyProtection="0">
      <alignment vertical="center"/>
    </xf>
    <xf numFmtId="0" fontId="26" fillId="23" borderId="0" applyNumberFormat="0" applyBorder="0" applyAlignment="0" applyProtection="0">
      <alignment vertical="center"/>
    </xf>
    <xf numFmtId="0" fontId="22" fillId="47" borderId="0" applyNumberFormat="0" applyBorder="0" applyAlignment="0" applyProtection="0">
      <alignment vertical="center"/>
    </xf>
    <xf numFmtId="0" fontId="34" fillId="0" borderId="24" applyNumberFormat="0" applyFill="0" applyAlignment="0" applyProtection="0">
      <alignment vertical="center"/>
    </xf>
    <xf numFmtId="0" fontId="23" fillId="20" borderId="0" applyNumberFormat="0" applyBorder="0" applyAlignment="0" applyProtection="0">
      <alignment vertical="center"/>
    </xf>
    <xf numFmtId="0" fontId="37" fillId="46" borderId="26" applyNumberFormat="0" applyAlignment="0" applyProtection="0">
      <alignment vertical="center"/>
    </xf>
    <xf numFmtId="0" fontId="31" fillId="27" borderId="22" applyNumberFormat="0" applyAlignment="0" applyProtection="0">
      <alignment vertical="center"/>
    </xf>
    <xf numFmtId="0" fontId="27" fillId="0" borderId="19" applyNumberFormat="0" applyFill="0" applyAlignment="0" applyProtection="0">
      <alignment vertical="center"/>
    </xf>
    <xf numFmtId="0" fontId="30" fillId="0" borderId="0" applyNumberFormat="0" applyFill="0" applyBorder="0" applyAlignment="0" applyProtection="0">
      <alignment vertical="center"/>
    </xf>
    <xf numFmtId="0" fontId="22" fillId="26" borderId="0" applyNumberFormat="0" applyBorder="0" applyAlignment="0" applyProtection="0">
      <alignment vertical="center"/>
    </xf>
    <xf numFmtId="0" fontId="25" fillId="0" borderId="0" applyNumberFormat="0" applyFill="0" applyBorder="0" applyAlignment="0" applyProtection="0">
      <alignment vertical="center"/>
    </xf>
    <xf numFmtId="42" fontId="0" fillId="0" borderId="0" applyFont="0" applyFill="0" applyBorder="0" applyAlignment="0" applyProtection="0">
      <alignment vertical="center"/>
    </xf>
    <xf numFmtId="0" fontId="22" fillId="25" borderId="0" applyNumberFormat="0" applyBorder="0" applyAlignment="0" applyProtection="0">
      <alignment vertical="center"/>
    </xf>
    <xf numFmtId="43"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2" fillId="29" borderId="0" applyNumberFormat="0" applyBorder="0" applyAlignment="0" applyProtection="0">
      <alignment vertical="center"/>
    </xf>
    <xf numFmtId="0" fontId="39" fillId="0" borderId="0" applyNumberFormat="0" applyFill="0" applyBorder="0" applyAlignment="0" applyProtection="0">
      <alignment vertical="center"/>
    </xf>
    <xf numFmtId="0" fontId="21" fillId="24" borderId="0" applyNumberFormat="0" applyBorder="0" applyAlignment="0" applyProtection="0">
      <alignment vertical="center"/>
    </xf>
    <xf numFmtId="0" fontId="0" fillId="21" borderId="21" applyNumberFormat="0" applyFont="0" applyAlignment="0" applyProtection="0">
      <alignment vertical="center"/>
    </xf>
    <xf numFmtId="0" fontId="22" fillId="35" borderId="0" applyNumberFormat="0" applyBorder="0" applyAlignment="0" applyProtection="0">
      <alignment vertical="center"/>
    </xf>
    <xf numFmtId="0" fontId="21" fillId="28" borderId="0" applyNumberFormat="0" applyBorder="0" applyAlignment="0" applyProtection="0">
      <alignment vertical="center"/>
    </xf>
    <xf numFmtId="0" fontId="22" fillId="48" borderId="0" applyNumberFormat="0" applyBorder="0" applyAlignment="0" applyProtection="0">
      <alignment vertical="center"/>
    </xf>
    <xf numFmtId="0" fontId="38"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19" applyNumberFormat="0" applyFill="0" applyAlignment="0" applyProtection="0">
      <alignment vertical="center"/>
    </xf>
    <xf numFmtId="0" fontId="22" fillId="19" borderId="0" applyNumberFormat="0" applyBorder="0" applyAlignment="0" applyProtection="0">
      <alignment vertical="center"/>
    </xf>
    <xf numFmtId="0" fontId="25" fillId="0" borderId="20" applyNumberFormat="0" applyFill="0" applyAlignment="0" applyProtection="0">
      <alignment vertical="center"/>
    </xf>
    <xf numFmtId="0" fontId="21" fillId="18" borderId="0" applyNumberFormat="0" applyBorder="0" applyAlignment="0" applyProtection="0">
      <alignment vertical="center"/>
    </xf>
    <xf numFmtId="0" fontId="22" fillId="41" borderId="0" applyNumberFormat="0" applyBorder="0" applyAlignment="0" applyProtection="0">
      <alignment vertical="center"/>
    </xf>
    <xf numFmtId="0" fontId="36" fillId="0" borderId="25" applyNumberFormat="0" applyFill="0" applyAlignment="0" applyProtection="0">
      <alignment vertical="center"/>
    </xf>
  </cellStyleXfs>
  <cellXfs count="186">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2" borderId="1" xfId="0" applyFont="1" applyFill="1" applyBorder="1">
      <alignment vertical="center"/>
    </xf>
    <xf numFmtId="0" fontId="3" fillId="0" borderId="1" xfId="0" applyFont="1" applyBorder="1" applyAlignment="1">
      <alignment horizontal="center" vertical="center" wrapText="1"/>
    </xf>
    <xf numFmtId="14" fontId="1" fillId="0" borderId="1" xfId="0" applyNumberFormat="1" applyFont="1" applyBorder="1">
      <alignmen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lignment vertical="center"/>
    </xf>
    <xf numFmtId="0" fontId="1" fillId="0" borderId="1" xfId="0" applyFont="1" applyBorder="1">
      <alignment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3"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0" borderId="2" xfId="0" applyNumberFormat="1" applyFont="1" applyFill="1" applyBorder="1" applyAlignment="1">
      <alignment vertical="center" wrapText="1"/>
    </xf>
    <xf numFmtId="0" fontId="4" fillId="0" borderId="1" xfId="0" applyNumberFormat="1" applyFont="1" applyBorder="1" applyAlignment="1">
      <alignment vertical="center" wrapText="1"/>
    </xf>
    <xf numFmtId="0" fontId="4" fillId="0" borderId="1" xfId="0" applyNumberFormat="1" applyFont="1" applyBorder="1">
      <alignment vertical="center"/>
    </xf>
    <xf numFmtId="0" fontId="8" fillId="5" borderId="1" xfId="0" applyFont="1" applyFill="1" applyBorder="1" applyAlignment="1">
      <alignment horizontal="center" vertical="center" wrapText="1"/>
    </xf>
    <xf numFmtId="0" fontId="4" fillId="0" borderId="1" xfId="0" applyNumberFormat="1" applyFont="1" applyFill="1" applyBorder="1" applyAlignment="1">
      <alignment vertical="center" wrapText="1"/>
    </xf>
    <xf numFmtId="0" fontId="7" fillId="4"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8" fillId="7" borderId="2" xfId="0" applyNumberFormat="1" applyFont="1" applyFill="1" applyBorder="1" applyAlignment="1">
      <alignment vertical="center" wrapText="1"/>
    </xf>
    <xf numFmtId="0" fontId="6" fillId="8" borderId="2" xfId="0" applyFont="1" applyFill="1" applyBorder="1" applyAlignment="1">
      <alignment vertical="center" wrapText="1"/>
    </xf>
    <xf numFmtId="0" fontId="1" fillId="0" borderId="7" xfId="0" applyFont="1" applyBorder="1">
      <alignment vertical="center"/>
    </xf>
    <xf numFmtId="0" fontId="4" fillId="0" borderId="0" xfId="0" applyFont="1">
      <alignment vertical="center"/>
    </xf>
    <xf numFmtId="0" fontId="9" fillId="7" borderId="2" xfId="0" applyNumberFormat="1" applyFont="1" applyFill="1" applyBorder="1" applyAlignment="1">
      <alignment vertical="center" wrapText="1"/>
    </xf>
    <xf numFmtId="0" fontId="7" fillId="8" borderId="2" xfId="0" applyFont="1" applyFill="1" applyBorder="1" applyAlignment="1">
      <alignment vertical="center" wrapText="1"/>
    </xf>
    <xf numFmtId="0" fontId="0" fillId="0" borderId="1" xfId="0" applyBorder="1">
      <alignment vertical="center"/>
    </xf>
    <xf numFmtId="0" fontId="7" fillId="6" borderId="7" xfId="0" applyFont="1" applyFill="1" applyBorder="1" applyAlignment="1">
      <alignment horizontal="center" vertical="center" wrapText="1"/>
    </xf>
    <xf numFmtId="0" fontId="1" fillId="9" borderId="0" xfId="0" applyFont="1" applyFill="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NumberFormat="1" applyFont="1">
      <alignment vertical="center"/>
    </xf>
    <xf numFmtId="0" fontId="3" fillId="10" borderId="8" xfId="0" applyFont="1" applyFill="1" applyBorder="1" applyAlignment="1">
      <alignment horizontal="left" vertical="center"/>
    </xf>
    <xf numFmtId="0" fontId="3" fillId="10" borderId="8"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0" borderId="0" xfId="0" applyFont="1" applyFill="1" applyAlignment="1">
      <alignment horizontal="left" vertical="center" wrapText="1"/>
    </xf>
    <xf numFmtId="0" fontId="4" fillId="0" borderId="2" xfId="0"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4" fillId="0" borderId="4" xfId="0" applyNumberFormat="1" applyFont="1" applyBorder="1" applyAlignment="1">
      <alignment horizontal="left" vertical="center" wrapText="1"/>
    </xf>
    <xf numFmtId="0" fontId="10" fillId="0" borderId="1" xfId="41" applyNumberFormat="1" applyFont="1" applyBorder="1" applyAlignment="1">
      <alignment horizontal="center" vertical="center" wrapText="1"/>
    </xf>
    <xf numFmtId="0" fontId="4" fillId="9" borderId="1" xfId="0" applyNumberFormat="1" applyFont="1" applyFill="1" applyBorder="1" applyAlignment="1">
      <alignment horizontal="left" vertical="center" wrapText="1"/>
    </xf>
    <xf numFmtId="0" fontId="10" fillId="9" borderId="1" xfId="41" applyNumberFormat="1" applyFont="1" applyFill="1" applyBorder="1" applyAlignment="1">
      <alignment vertical="center" wrapText="1"/>
    </xf>
    <xf numFmtId="0" fontId="4" fillId="9" borderId="1" xfId="0" applyNumberFormat="1" applyFont="1" applyFill="1" applyBorder="1" applyAlignment="1">
      <alignment vertical="center" wrapText="1"/>
    </xf>
    <xf numFmtId="0" fontId="4" fillId="0" borderId="1" xfId="0" applyNumberFormat="1" applyFont="1" applyBorder="1" applyAlignment="1">
      <alignment horizontal="left" vertical="center" wrapText="1"/>
    </xf>
    <xf numFmtId="0" fontId="10" fillId="0" borderId="1" xfId="41" applyNumberFormat="1" applyFont="1" applyBorder="1" applyAlignment="1">
      <alignment vertical="center" wrapText="1"/>
    </xf>
    <xf numFmtId="0" fontId="4" fillId="0" borderId="2" xfId="0" applyNumberFormat="1" applyFont="1" applyBorder="1" applyAlignment="1">
      <alignment horizontal="left" vertical="center"/>
    </xf>
    <xf numFmtId="0" fontId="10" fillId="0" borderId="1" xfId="41" applyNumberFormat="1" applyFont="1" applyBorder="1" applyAlignment="1">
      <alignment horizontal="left" vertical="center" wrapText="1"/>
    </xf>
    <xf numFmtId="0" fontId="4" fillId="0" borderId="4" xfId="0" applyNumberFormat="1" applyFont="1" applyBorder="1" applyAlignment="1">
      <alignment horizontal="left" vertical="center"/>
    </xf>
    <xf numFmtId="0" fontId="4" fillId="11" borderId="1" xfId="0" applyNumberFormat="1" applyFont="1" applyFill="1" applyBorder="1" applyAlignment="1">
      <alignment horizontal="left" vertical="center" wrapText="1"/>
    </xf>
    <xf numFmtId="0" fontId="10" fillId="11" borderId="1" xfId="41" applyNumberFormat="1" applyFont="1" applyFill="1" applyBorder="1" applyAlignment="1">
      <alignment vertical="center" wrapText="1"/>
    </xf>
    <xf numFmtId="0" fontId="4" fillId="11" borderId="1" xfId="0" applyNumberFormat="1" applyFont="1" applyFill="1" applyBorder="1" applyAlignment="1">
      <alignment vertical="center" wrapText="1"/>
    </xf>
    <xf numFmtId="0" fontId="1" fillId="0" borderId="0" xfId="0" applyFont="1" applyAlignment="1" applyProtection="1">
      <alignment horizontal="left" vertical="center"/>
      <protection locked="0"/>
    </xf>
    <xf numFmtId="0" fontId="4" fillId="0" borderId="9" xfId="0" applyNumberFormat="1" applyFont="1" applyBorder="1" applyAlignment="1">
      <alignment horizontal="left" vertical="center" wrapText="1"/>
    </xf>
    <xf numFmtId="0" fontId="4" fillId="0" borderId="10" xfId="0" applyNumberFormat="1" applyFont="1" applyBorder="1" applyAlignment="1">
      <alignment horizontal="left" vertical="center" wrapText="1"/>
    </xf>
    <xf numFmtId="0" fontId="4" fillId="0" borderId="9" xfId="0" applyNumberFormat="1" applyFont="1" applyFill="1" applyBorder="1" applyAlignment="1">
      <alignment horizontal="left" vertical="center" wrapText="1"/>
    </xf>
    <xf numFmtId="0" fontId="4" fillId="0" borderId="11" xfId="0" applyNumberFormat="1" applyFont="1" applyBorder="1" applyAlignment="1">
      <alignment horizontal="left" vertical="center" wrapText="1"/>
    </xf>
    <xf numFmtId="0" fontId="4" fillId="0" borderId="12" xfId="0" applyNumberFormat="1" applyFont="1" applyFill="1" applyBorder="1" applyAlignment="1">
      <alignment horizontal="left" vertical="center" wrapText="1"/>
    </xf>
    <xf numFmtId="0" fontId="10" fillId="11" borderId="1" xfId="41"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13" xfId="0" applyNumberFormat="1" applyFont="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11" borderId="7" xfId="0" applyNumberFormat="1" applyFont="1" applyFill="1" applyBorder="1" applyAlignment="1">
      <alignment horizontal="left" vertical="center" wrapText="1"/>
    </xf>
    <xf numFmtId="0" fontId="1" fillId="0" borderId="1" xfId="0" applyFont="1" applyBorder="1" applyAlignment="1">
      <alignment horizontal="left" vertical="center"/>
    </xf>
    <xf numFmtId="0" fontId="4" fillId="0" borderId="7" xfId="0" applyNumberFormat="1" applyFont="1" applyBorder="1" applyAlignment="1">
      <alignment horizontal="left" vertical="center" wrapText="1"/>
    </xf>
    <xf numFmtId="0" fontId="1" fillId="0" borderId="2" xfId="0" applyFont="1" applyBorder="1" applyAlignment="1">
      <alignment horizontal="center" vertical="center"/>
    </xf>
    <xf numFmtId="0" fontId="4" fillId="0" borderId="10" xfId="0" applyNumberFormat="1" applyFont="1" applyBorder="1" applyAlignment="1">
      <alignment horizontal="center" vertical="center" wrapText="1"/>
    </xf>
    <xf numFmtId="0" fontId="11" fillId="0" borderId="1" xfId="41" applyFont="1" applyBorder="1" applyAlignment="1">
      <alignment horizontal="center" vertical="center" wrapText="1"/>
    </xf>
    <xf numFmtId="0" fontId="4" fillId="0" borderId="2" xfId="0" applyFont="1" applyBorder="1" applyAlignment="1">
      <alignment horizontal="center" vertical="center"/>
    </xf>
    <xf numFmtId="0" fontId="1" fillId="0" borderId="4" xfId="0" applyFont="1" applyBorder="1" applyAlignment="1">
      <alignment horizontal="center" vertical="center"/>
    </xf>
    <xf numFmtId="0" fontId="4" fillId="0" borderId="14" xfId="0" applyNumberFormat="1" applyFont="1" applyBorder="1" applyAlignment="1">
      <alignment horizontal="center" vertical="center" wrapText="1"/>
    </xf>
    <xf numFmtId="0" fontId="4" fillId="0" borderId="4" xfId="0" applyFont="1" applyBorder="1" applyAlignment="1">
      <alignment horizontal="center" vertical="center"/>
    </xf>
    <xf numFmtId="0" fontId="4" fillId="0" borderId="7" xfId="0" applyNumberFormat="1" applyFont="1" applyBorder="1" applyAlignment="1">
      <alignment horizontal="center" vertical="center" wrapText="1"/>
    </xf>
    <xf numFmtId="0" fontId="11" fillId="0" borderId="1" xfId="41" applyFont="1" applyBorder="1" applyAlignment="1">
      <alignment vertical="center" wrapText="1"/>
    </xf>
    <xf numFmtId="0" fontId="4" fillId="0" borderId="1" xfId="0" applyFont="1" applyFill="1" applyBorder="1">
      <alignment vertical="center"/>
    </xf>
    <xf numFmtId="0" fontId="4" fillId="0" borderId="2" xfId="0" applyNumberFormat="1" applyFont="1" applyBorder="1" applyAlignment="1">
      <alignment vertical="center" wrapText="1"/>
    </xf>
    <xf numFmtId="0" fontId="1" fillId="0" borderId="2" xfId="0" applyFont="1" applyBorder="1" applyAlignment="1">
      <alignment horizontal="left" vertical="center"/>
    </xf>
    <xf numFmtId="0" fontId="4" fillId="0" borderId="2" xfId="0" applyFont="1" applyBorder="1" applyAlignment="1">
      <alignment horizontal="left" vertical="center"/>
    </xf>
    <xf numFmtId="0" fontId="1" fillId="0" borderId="4" xfId="0" applyFont="1" applyBorder="1" applyAlignment="1">
      <alignment horizontal="left" vertical="center"/>
    </xf>
    <xf numFmtId="0" fontId="4" fillId="0" borderId="4" xfId="0" applyFont="1" applyBorder="1" applyAlignment="1">
      <alignment horizontal="left" vertical="center"/>
    </xf>
    <xf numFmtId="0" fontId="1" fillId="9" borderId="1" xfId="0" applyFont="1" applyFill="1" applyBorder="1" applyAlignment="1">
      <alignment horizontal="left" vertical="center"/>
    </xf>
    <xf numFmtId="0" fontId="4" fillId="9" borderId="1" xfId="0" applyFont="1" applyFill="1" applyBorder="1" applyAlignment="1">
      <alignment horizontal="left" vertical="center"/>
    </xf>
    <xf numFmtId="0" fontId="4" fillId="0" borderId="1" xfId="0" applyFont="1" applyBorder="1" applyAlignment="1">
      <alignment horizontal="left" vertical="center"/>
    </xf>
    <xf numFmtId="0" fontId="4" fillId="0" borderId="3" xfId="0" applyNumberFormat="1" applyFont="1" applyFill="1" applyBorder="1" applyAlignment="1">
      <alignment horizontal="left" vertical="center" wrapText="1"/>
    </xf>
    <xf numFmtId="0" fontId="4" fillId="0" borderId="3" xfId="0" applyFont="1" applyBorder="1" applyAlignment="1">
      <alignment horizontal="left" vertical="center"/>
    </xf>
    <xf numFmtId="0" fontId="4" fillId="0" borderId="4" xfId="0" applyNumberFormat="1" applyFont="1" applyFill="1" applyBorder="1" applyAlignment="1">
      <alignment horizontal="left" vertical="center" wrapText="1"/>
    </xf>
    <xf numFmtId="0" fontId="12" fillId="11" borderId="1" xfId="0" applyNumberFormat="1" applyFont="1" applyFill="1" applyBorder="1" applyAlignment="1">
      <alignment horizontal="left" vertical="center" wrapText="1"/>
    </xf>
    <xf numFmtId="0" fontId="4" fillId="0" borderId="2" xfId="0"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4" fillId="0" borderId="1" xfId="0" applyNumberFormat="1" applyFont="1" applyBorder="1" applyAlignment="1">
      <alignment horizontal="center" vertical="center" wrapText="1"/>
    </xf>
    <xf numFmtId="0" fontId="3" fillId="12" borderId="15" xfId="0" applyFont="1" applyFill="1" applyBorder="1" applyAlignment="1">
      <alignment horizontal="center" vertical="center" wrapText="1"/>
    </xf>
    <xf numFmtId="0" fontId="5" fillId="12" borderId="16" xfId="0" applyFont="1" applyFill="1" applyBorder="1" applyAlignment="1">
      <alignment horizontal="center" vertical="center"/>
    </xf>
    <xf numFmtId="0" fontId="5" fillId="12" borderId="16" xfId="0" applyFont="1" applyFill="1" applyBorder="1" applyAlignment="1">
      <alignment horizontal="center" vertical="center" wrapText="1"/>
    </xf>
    <xf numFmtId="0" fontId="3" fillId="12" borderId="7" xfId="0" applyNumberFormat="1" applyFont="1" applyFill="1" applyBorder="1" applyAlignment="1">
      <alignment horizontal="center" vertical="center" wrapText="1"/>
    </xf>
    <xf numFmtId="0" fontId="3" fillId="12" borderId="1" xfId="0" applyFont="1" applyFill="1" applyBorder="1">
      <alignment vertical="center"/>
    </xf>
    <xf numFmtId="0" fontId="3" fillId="12" borderId="1" xfId="0" applyFont="1" applyFill="1" applyBorder="1" applyAlignment="1">
      <alignment vertical="center" wrapText="1"/>
    </xf>
    <xf numFmtId="0" fontId="1" fillId="0" borderId="1" xfId="0" applyFont="1" applyBorder="1" applyAlignment="1">
      <alignment vertical="center" wrapText="1"/>
    </xf>
    <xf numFmtId="0" fontId="1" fillId="9" borderId="1" xfId="0" applyFont="1" applyFill="1" applyBorder="1" applyAlignment="1">
      <alignment vertical="center" wrapText="1"/>
    </xf>
    <xf numFmtId="0" fontId="4" fillId="9" borderId="1" xfId="0" applyFont="1" applyFill="1" applyBorder="1">
      <alignment vertical="center"/>
    </xf>
    <xf numFmtId="0" fontId="1" fillId="0" borderId="1" xfId="0" applyNumberFormat="1" applyFont="1" applyBorder="1" applyAlignment="1">
      <alignment vertical="center" wrapText="1"/>
    </xf>
    <xf numFmtId="0" fontId="1" fillId="0" borderId="1" xfId="0" applyNumberFormat="1" applyFont="1" applyBorder="1" applyAlignment="1">
      <alignment horizontal="left" vertical="center" wrapText="1"/>
    </xf>
    <xf numFmtId="0" fontId="1" fillId="0" borderId="1" xfId="0" applyNumberFormat="1" applyFont="1" applyBorder="1">
      <alignment vertical="center"/>
    </xf>
    <xf numFmtId="0" fontId="1" fillId="0" borderId="2" xfId="0" applyNumberFormat="1" applyFont="1" applyBorder="1">
      <alignment vertical="center"/>
    </xf>
    <xf numFmtId="0" fontId="3" fillId="12" borderId="7" xfId="0" applyNumberFormat="1" applyFont="1" applyFill="1" applyBorder="1">
      <alignment vertical="center"/>
    </xf>
    <xf numFmtId="0" fontId="3" fillId="12" borderId="1" xfId="0" applyFont="1" applyFill="1" applyBorder="1" applyAlignment="1">
      <alignment horizontal="center" vertical="center" wrapText="1"/>
    </xf>
    <xf numFmtId="0" fontId="4" fillId="0" borderId="1" xfId="0" applyNumberFormat="1" applyFont="1" applyFill="1" applyBorder="1" applyAlignment="1" applyProtection="1">
      <alignment vertical="center" wrapText="1"/>
    </xf>
    <xf numFmtId="0" fontId="3" fillId="0" borderId="1" xfId="0" applyNumberFormat="1" applyFont="1" applyFill="1" applyBorder="1" applyAlignment="1" applyProtection="1">
      <alignment vertical="center" wrapText="1"/>
    </xf>
    <xf numFmtId="0" fontId="3" fillId="9" borderId="1" xfId="0" applyNumberFormat="1" applyFont="1" applyFill="1" applyBorder="1" applyAlignment="1">
      <alignment vertical="center" wrapText="1"/>
    </xf>
    <xf numFmtId="0" fontId="4" fillId="9" borderId="1" xfId="0" applyFont="1" applyFill="1" applyBorder="1" applyAlignment="1">
      <alignment vertical="center" wrapText="1"/>
    </xf>
    <xf numFmtId="0" fontId="4" fillId="0" borderId="1" xfId="0" applyNumberFormat="1" applyFont="1" applyFill="1" applyBorder="1" applyAlignment="1">
      <alignment horizontal="left" vertical="center" wrapText="1"/>
    </xf>
    <xf numFmtId="0" fontId="3" fillId="12" borderId="1" xfId="0" applyNumberFormat="1" applyFont="1" applyFill="1" applyBorder="1">
      <alignment vertical="center"/>
    </xf>
    <xf numFmtId="0" fontId="13" fillId="0" borderId="1" xfId="41" applyFont="1" applyBorder="1" applyAlignment="1">
      <alignment vertical="center" wrapText="1"/>
    </xf>
    <xf numFmtId="0" fontId="13" fillId="9" borderId="1" xfId="41" applyFont="1" applyFill="1" applyBorder="1" applyAlignment="1">
      <alignment vertical="center" wrapText="1"/>
    </xf>
    <xf numFmtId="0" fontId="4" fillId="9" borderId="1" xfId="0" applyNumberFormat="1" applyFont="1" applyFill="1" applyBorder="1">
      <alignment vertical="center"/>
    </xf>
    <xf numFmtId="0" fontId="13" fillId="0" borderId="1" xfId="41" applyFont="1" applyBorder="1" applyAlignment="1">
      <alignment horizontal="left" vertical="center" wrapText="1"/>
    </xf>
    <xf numFmtId="0" fontId="4" fillId="0" borderId="1" xfId="0" applyNumberFormat="1" applyFont="1" applyBorder="1" applyAlignment="1">
      <alignment horizontal="left" vertical="center"/>
    </xf>
    <xf numFmtId="0" fontId="1" fillId="0" borderId="2" xfId="0" applyFont="1" applyBorder="1">
      <alignment vertical="center"/>
    </xf>
    <xf numFmtId="0" fontId="13" fillId="0" borderId="1" xfId="41" applyFont="1" applyBorder="1" applyAlignment="1">
      <alignment horizontal="center" vertical="center" wrapText="1"/>
    </xf>
    <xf numFmtId="0" fontId="14" fillId="0" borderId="0" xfId="41" applyFont="1">
      <alignment vertical="center"/>
    </xf>
    <xf numFmtId="0" fontId="5" fillId="12" borderId="17" xfId="0" applyFont="1" applyFill="1" applyBorder="1" applyAlignment="1">
      <alignment horizontal="left" vertical="center"/>
    </xf>
    <xf numFmtId="0" fontId="3" fillId="3" borderId="18"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12" borderId="5" xfId="0" applyFont="1" applyFill="1" applyBorder="1" applyAlignment="1">
      <alignment horizontal="left" vertical="center"/>
    </xf>
    <xf numFmtId="0" fontId="3" fillId="3" borderId="1" xfId="0" applyFont="1" applyFill="1" applyBorder="1">
      <alignment vertical="center"/>
    </xf>
    <xf numFmtId="0" fontId="15" fillId="0" borderId="1" xfId="0" applyFont="1" applyBorder="1">
      <alignment vertical="center"/>
    </xf>
    <xf numFmtId="0" fontId="15" fillId="0" borderId="0" xfId="0" applyFont="1">
      <alignment vertical="center"/>
    </xf>
    <xf numFmtId="0" fontId="4" fillId="0" borderId="2" xfId="0" applyFont="1" applyBorder="1">
      <alignment vertical="center"/>
    </xf>
    <xf numFmtId="0" fontId="4" fillId="0" borderId="2" xfId="0" applyFont="1" applyBorder="1" applyAlignment="1">
      <alignment vertical="center" wrapText="1"/>
    </xf>
    <xf numFmtId="0" fontId="1" fillId="0" borderId="2" xfId="0" applyFont="1" applyBorder="1" applyAlignment="1">
      <alignment vertical="center" wrapText="1"/>
    </xf>
    <xf numFmtId="0" fontId="4" fillId="0" borderId="2" xfId="0" applyFont="1" applyBorder="1" applyAlignment="1">
      <alignment horizontal="left" vertical="center" wrapText="1"/>
    </xf>
    <xf numFmtId="0" fontId="0" fillId="0" borderId="1" xfId="0" applyBorder="1" applyAlignment="1">
      <alignment horizontal="left" vertical="center"/>
    </xf>
    <xf numFmtId="0" fontId="15" fillId="0" borderId="1" xfId="0" applyFont="1" applyBorder="1" applyAlignment="1">
      <alignment vertical="center" wrapText="1"/>
    </xf>
    <xf numFmtId="0" fontId="13" fillId="0" borderId="5" xfId="41" applyFont="1" applyBorder="1" applyAlignment="1">
      <alignment vertical="center" wrapText="1"/>
    </xf>
    <xf numFmtId="0" fontId="13" fillId="0" borderId="2" xfId="41" applyFont="1" applyBorder="1" applyAlignment="1">
      <alignment vertical="center" wrapText="1"/>
    </xf>
    <xf numFmtId="0" fontId="4" fillId="0" borderId="0" xfId="0" applyFont="1" applyAlignment="1">
      <alignment horizontal="left" vertical="center"/>
    </xf>
    <xf numFmtId="0" fontId="15" fillId="0" borderId="2" xfId="0" applyFont="1" applyBorder="1">
      <alignment vertical="center"/>
    </xf>
    <xf numFmtId="0" fontId="1" fillId="13" borderId="0" xfId="0" applyFont="1" applyFill="1">
      <alignment vertical="center"/>
    </xf>
    <xf numFmtId="0" fontId="3" fillId="14" borderId="4" xfId="0" applyNumberFormat="1" applyFont="1" applyFill="1" applyBorder="1" applyAlignment="1">
      <alignment vertical="center" wrapText="1"/>
    </xf>
    <xf numFmtId="0" fontId="12" fillId="0" borderId="1" xfId="0" applyNumberFormat="1" applyFont="1" applyBorder="1" applyAlignment="1">
      <alignment vertical="center" wrapText="1"/>
    </xf>
    <xf numFmtId="0" fontId="4" fillId="0" borderId="1" xfId="0" applyFont="1" applyBorder="1" applyProtection="1">
      <alignment vertical="center"/>
      <protection locked="0"/>
    </xf>
    <xf numFmtId="0" fontId="1" fillId="0" borderId="1" xfId="0" applyFont="1" applyBorder="1" applyProtection="1">
      <alignment vertical="center"/>
      <protection locked="0"/>
    </xf>
    <xf numFmtId="0" fontId="16" fillId="0" borderId="1" xfId="41" applyNumberFormat="1" applyFont="1" applyBorder="1" applyAlignment="1">
      <alignment vertical="center" wrapText="1"/>
    </xf>
    <xf numFmtId="0" fontId="7" fillId="0" borderId="1" xfId="0" applyNumberFormat="1" applyFont="1" applyFill="1" applyBorder="1" applyAlignment="1">
      <alignment vertical="center" wrapText="1"/>
    </xf>
    <xf numFmtId="0" fontId="17" fillId="0" borderId="1" xfId="0" applyFont="1" applyBorder="1">
      <alignment vertical="center"/>
    </xf>
    <xf numFmtId="0" fontId="18" fillId="0" borderId="1" xfId="41" applyFont="1" applyBorder="1">
      <alignment vertical="center"/>
    </xf>
    <xf numFmtId="0" fontId="19" fillId="0" borderId="1" xfId="0" applyFont="1" applyBorder="1">
      <alignment vertical="center"/>
    </xf>
    <xf numFmtId="0" fontId="11" fillId="0" borderId="1" xfId="41" applyFont="1" applyBorder="1">
      <alignment vertical="center"/>
    </xf>
    <xf numFmtId="0" fontId="3" fillId="14" borderId="4" xfId="0" applyNumberFormat="1" applyFont="1" applyFill="1" applyBorder="1" applyAlignment="1">
      <alignment horizontal="left" vertical="center" wrapText="1"/>
    </xf>
    <xf numFmtId="0" fontId="4" fillId="15" borderId="1" xfId="0" applyNumberFormat="1" applyFont="1" applyFill="1" applyBorder="1" applyAlignment="1">
      <alignment vertical="center" wrapText="1"/>
    </xf>
    <xf numFmtId="0" fontId="1" fillId="15" borderId="1" xfId="0" applyFont="1" applyFill="1" applyBorder="1">
      <alignment vertical="center"/>
    </xf>
    <xf numFmtId="0" fontId="4" fillId="15" borderId="1" xfId="0" applyFont="1" applyFill="1" applyBorder="1">
      <alignment vertical="center"/>
    </xf>
    <xf numFmtId="0" fontId="4" fillId="0" borderId="5" xfId="0" applyFont="1" applyBorder="1">
      <alignment vertical="center"/>
    </xf>
    <xf numFmtId="0" fontId="1" fillId="0" borderId="5" xfId="0" applyFont="1" applyBorder="1">
      <alignment vertical="center"/>
    </xf>
    <xf numFmtId="0" fontId="3" fillId="16" borderId="4" xfId="0" applyNumberFormat="1" applyFont="1" applyFill="1" applyBorder="1" applyAlignment="1">
      <alignment vertical="center" wrapText="1"/>
    </xf>
    <xf numFmtId="0" fontId="3" fillId="16" borderId="4" xfId="0" applyNumberFormat="1" applyFont="1" applyFill="1" applyBorder="1" applyAlignment="1">
      <alignment horizontal="center" vertical="center" wrapText="1"/>
    </xf>
    <xf numFmtId="0" fontId="4" fillId="17" borderId="1" xfId="0" applyFont="1" applyFill="1" applyBorder="1">
      <alignment vertical="center"/>
    </xf>
    <xf numFmtId="0" fontId="1" fillId="17" borderId="1" xfId="0" applyFont="1" applyFill="1" applyBorder="1">
      <alignment vertical="center"/>
    </xf>
    <xf numFmtId="0" fontId="3" fillId="16" borderId="1" xfId="0" applyNumberFormat="1" applyFont="1" applyFill="1" applyBorder="1" applyAlignment="1">
      <alignment horizontal="center" vertical="center" wrapText="1"/>
    </xf>
    <xf numFmtId="0" fontId="12" fillId="0" borderId="2" xfId="0" applyFont="1" applyBorder="1">
      <alignment vertical="center"/>
    </xf>
    <xf numFmtId="0" fontId="12" fillId="0" borderId="1" xfId="0" applyFont="1" applyBorder="1" applyAlignment="1">
      <alignment vertical="center" wrapText="1"/>
    </xf>
    <xf numFmtId="0" fontId="12" fillId="0" borderId="1" xfId="0" applyFont="1" applyBorder="1">
      <alignment vertical="center"/>
    </xf>
    <xf numFmtId="0" fontId="12" fillId="0" borderId="2" xfId="0" applyFont="1" applyBorder="1" applyAlignment="1">
      <alignment vertical="center" wrapText="1"/>
    </xf>
    <xf numFmtId="0" fontId="1" fillId="17" borderId="1" xfId="0" applyFont="1" applyFill="1" applyBorder="1" applyAlignment="1">
      <alignment vertical="center" wrapText="1"/>
    </xf>
    <xf numFmtId="0" fontId="4" fillId="0" borderId="1" xfId="0" applyNumberFormat="1" applyFont="1" applyBorder="1" applyAlignment="1">
      <alignment horizontal="left" vertical="top" wrapText="1"/>
    </xf>
    <xf numFmtId="0" fontId="19" fillId="0" borderId="1" xfId="0" applyFont="1" applyFill="1" applyBorder="1">
      <alignment vertical="center"/>
    </xf>
    <xf numFmtId="0" fontId="20" fillId="13" borderId="0" xfId="0" applyFont="1" applyFill="1">
      <alignment vertical="center"/>
    </xf>
    <xf numFmtId="0" fontId="1" fillId="13" borderId="0" xfId="0" applyFont="1" applyFill="1" applyAlignment="1">
      <alignment horizontal="left" vertical="center"/>
    </xf>
    <xf numFmtId="0" fontId="1" fillId="13" borderId="0" xfId="0" applyFont="1" applyFill="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9">
    <open main="77" threadCnt="1"/>
    <sheetInfos>
      <sheetInfo cellCmpFml="0" sheetStid="1">
        <open main="3" threadCnt="1"/>
      </sheetInfo>
      <sheetInfo cellCmpFml="0" sheetStid="3">
        <open main="3" threadCnt="1"/>
      </sheetInfo>
      <sheetInfo cellCmpFml="0" sheetStid="4">
        <open threadCnt="1"/>
      </sheetInfo>
      <sheetInfo cellCmpFml="9" sheetStid="6">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woinfos" Target="woinfos.xml"/><Relationship Id="rId13" Type="http://schemas.openxmlformats.org/officeDocument/2006/relationships/styles" Target="styles.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jira.htzq.htsc.com.cn/browse/FICCHEADS-1168" TargetMode="External"/><Relationship Id="rId8" Type="http://schemas.openxmlformats.org/officeDocument/2006/relationships/hyperlink" Target="http://jira.htzq.htsc.com.cn/browse/FICCHEADS-1110" TargetMode="External"/><Relationship Id="rId7" Type="http://schemas.openxmlformats.org/officeDocument/2006/relationships/hyperlink" Target="http://jira.htzq.htsc.com.cn/browse/FICCHEADS-1000" TargetMode="External"/><Relationship Id="rId6" Type="http://schemas.openxmlformats.org/officeDocument/2006/relationships/hyperlink" Target="http://jira.htzq.htsc.com.cn/browse/FICCHEADS-1136" TargetMode="External"/><Relationship Id="rId5" Type="http://schemas.openxmlformats.org/officeDocument/2006/relationships/hyperlink" Target="http://jira.htzq.htsc.com.cn/browse/FICCHEADS-1082" TargetMode="External"/><Relationship Id="rId4" Type="http://schemas.openxmlformats.org/officeDocument/2006/relationships/hyperlink" Target="http://jira.htzq.htsc.com.cn/browse/FICCHEADS-1097" TargetMode="External"/><Relationship Id="rId31" Type="http://schemas.openxmlformats.org/officeDocument/2006/relationships/hyperlink" Target="http://jira.htzq.htsc.com.cn/browse/FICCHEADS-873" TargetMode="External"/><Relationship Id="rId30" Type="http://schemas.openxmlformats.org/officeDocument/2006/relationships/hyperlink" Target="http://jira.htzq.htsc.com.cn/browse/FICCREQ-402" TargetMode="External"/><Relationship Id="rId3" Type="http://schemas.openxmlformats.org/officeDocument/2006/relationships/hyperlink" Target="http://jira.htzq.htsc.com.cn/browse/FICCHEADS-1089" TargetMode="External"/><Relationship Id="rId29" Type="http://schemas.openxmlformats.org/officeDocument/2006/relationships/hyperlink" Target="http://jira.htzq.htsc.com.cn/browse/FICCREQ-434" TargetMode="External"/><Relationship Id="rId28" Type="http://schemas.openxmlformats.org/officeDocument/2006/relationships/hyperlink" Target="http://jira.htzq.htsc.com.cn/browse/FICCREQ-433" TargetMode="External"/><Relationship Id="rId27"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26" Type="http://schemas.openxmlformats.org/officeDocument/2006/relationships/hyperlink" Target="http://jira.htzq.htsc.com.cn/browse/FICCHEADS-326" TargetMode="External"/><Relationship Id="rId25" Type="http://schemas.openxmlformats.org/officeDocument/2006/relationships/hyperlink" Target="http://jira.htzq.htsc.com.cn/browse/FICCHEADS-147" TargetMode="External"/><Relationship Id="rId24" Type="http://schemas.openxmlformats.org/officeDocument/2006/relationships/hyperlink" Target="http://jira.htzq.htsc.com.cn/browse/FICCHEADS-812" TargetMode="External"/><Relationship Id="rId23" Type="http://schemas.openxmlformats.org/officeDocument/2006/relationships/hyperlink" Target="http://jira.htzq.htsc.com.cn/browse/FICCHEADS-102" TargetMode="External"/><Relationship Id="rId22" Type="http://schemas.openxmlformats.org/officeDocument/2006/relationships/hyperlink" Target="http://jira.htzq.htsc.com.cn/browse/FICCHEADS-931" TargetMode="External"/><Relationship Id="rId21" Type="http://schemas.openxmlformats.org/officeDocument/2006/relationships/hyperlink" Target="http://jira.htzq.htsc.com.cn/browse/FICCHEADS-1127" TargetMode="External"/><Relationship Id="rId20" Type="http://schemas.openxmlformats.org/officeDocument/2006/relationships/hyperlink" Target="http://jira.htzq.htsc.com.cn/browse/FICCHEADS-1124"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jira.htzq.htsc.com.cn/browse/FICCHEADS-1148" TargetMode="External"/><Relationship Id="rId18" Type="http://schemas.openxmlformats.org/officeDocument/2006/relationships/hyperlink" Target="http://jira.htzq.htsc.com.cn/browse/FICCHEADS-458" TargetMode="External"/><Relationship Id="rId17" Type="http://schemas.openxmlformats.org/officeDocument/2006/relationships/hyperlink" Target="http://jira.htzq.htsc.com.cn/browse/FICCHEADS-631" TargetMode="External"/><Relationship Id="rId16" Type="http://schemas.openxmlformats.org/officeDocument/2006/relationships/hyperlink" Target="http://jira.htzq.htsc.com.cn/browse/FICCHEADS-955" TargetMode="External"/><Relationship Id="rId15" Type="http://schemas.openxmlformats.org/officeDocument/2006/relationships/hyperlink" Target="http://jira.htzq.htsc.com.cn/browse/FICCHEADS-1159" TargetMode="External"/><Relationship Id="rId14" Type="http://schemas.openxmlformats.org/officeDocument/2006/relationships/hyperlink" Target="http://jira.htzq.htsc.com.cn/browse/FICCHEADS-1140" TargetMode="External"/><Relationship Id="rId13" Type="http://schemas.openxmlformats.org/officeDocument/2006/relationships/hyperlink" Target="http://jira.htzq.htsc.com.cn/browse/FICCHEADS-1099" TargetMode="External"/><Relationship Id="rId12" Type="http://schemas.openxmlformats.org/officeDocument/2006/relationships/hyperlink" Target="http://jira.htzq.htsc.com.cn/browse/FICCHEADS-1147" TargetMode="External"/><Relationship Id="rId11" Type="http://schemas.openxmlformats.org/officeDocument/2006/relationships/hyperlink" Target="http://jira.htzq.htsc.com.cn/browse/FICCHEADS-1171" TargetMode="External"/><Relationship Id="rId10" Type="http://schemas.openxmlformats.org/officeDocument/2006/relationships/hyperlink" Target="http://jira.htzq.htsc.com.cn/browse/FICCHEADS-1175" TargetMode="External"/><Relationship Id="rId1" Type="http://schemas.openxmlformats.org/officeDocument/2006/relationships/hyperlink" Target="http://jira.htzq.htsc.com.cn/browse/FICCHEADS-1180"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jira.htzq.htsc.com.cn/browse/FICCHEADS-1147" TargetMode="External"/><Relationship Id="rId8" Type="http://schemas.openxmlformats.org/officeDocument/2006/relationships/hyperlink" Target="http://jira.htzq.htsc.com.cn/browse/FICCHEADS-1171" TargetMode="External"/><Relationship Id="rId7" Type="http://schemas.openxmlformats.org/officeDocument/2006/relationships/hyperlink" Target="http://jira.htzq.htsc.com.cn/browse/FICCHEADS-1168" TargetMode="External"/><Relationship Id="rId6" Type="http://schemas.openxmlformats.org/officeDocument/2006/relationships/hyperlink" Target="http://jira.htzq.htsc.com.cn/browse/FICCHEADS-1000" TargetMode="External"/><Relationship Id="rId54" Type="http://schemas.openxmlformats.org/officeDocument/2006/relationships/hyperlink" Target="http://168.61.113.232:8080/browse/FICCHEADS-1114" TargetMode="External"/><Relationship Id="rId53" Type="http://schemas.openxmlformats.org/officeDocument/2006/relationships/hyperlink" Target="http://wiki.htzq.htsc.com.cn/pages/viewpage.action?pageId=452350299" TargetMode="External"/><Relationship Id="rId52" Type="http://schemas.openxmlformats.org/officeDocument/2006/relationships/hyperlink" Target="http://wiki.htzq.htsc.com.cn/pages/viewpage.action?pageId=450101163" TargetMode="External"/><Relationship Id="rId51" Type="http://schemas.openxmlformats.org/officeDocument/2006/relationships/hyperlink" Target="http://wiki.htzq.htsc.com.cn/pages/viewpage.action?pageId=424337370" TargetMode="External"/><Relationship Id="rId50" Type="http://schemas.openxmlformats.org/officeDocument/2006/relationships/hyperlink" Target="http://jira.htzq.htsc.com.cn/browse/FICC-91043" TargetMode="External"/><Relationship Id="rId5" Type="http://schemas.openxmlformats.org/officeDocument/2006/relationships/hyperlink" Target="http://jira.htzq.htsc.com.cn/browse/FICCHEADS-1136" TargetMode="External"/><Relationship Id="rId49" Type="http://schemas.openxmlformats.org/officeDocument/2006/relationships/hyperlink" Target="http://wiki.htzq.htsc.com.cn/pages/viewpage.action?pageId=449428742" TargetMode="External"/><Relationship Id="rId48" Type="http://schemas.openxmlformats.org/officeDocument/2006/relationships/hyperlink" Target="http://wiki.htzq.htsc.com.cn/pages/viewpage.action?pageId=428499495" TargetMode="External"/><Relationship Id="rId47" Type="http://schemas.openxmlformats.org/officeDocument/2006/relationships/hyperlink" Target="http://wiki.htzq.htsc.com.cn/pages/viewpage.action?pageId=387150421" TargetMode="External"/><Relationship Id="rId46" Type="http://schemas.openxmlformats.org/officeDocument/2006/relationships/hyperlink" Target="http://wiki.htzq.htsc.com.cn/x/woUGGQ" TargetMode="External"/><Relationship Id="rId45" Type="http://schemas.openxmlformats.org/officeDocument/2006/relationships/hyperlink" Target="https://linkapp.htsc.com.cn/S/00C1xY" TargetMode="External"/><Relationship Id="rId44" Type="http://schemas.openxmlformats.org/officeDocument/2006/relationships/hyperlink" Target="http://wiki.htzq.htsc.com.cn/x/F5R7Gg" TargetMode="External"/><Relationship Id="rId43" Type="http://schemas.openxmlformats.org/officeDocument/2006/relationships/hyperlink" Target="http://wiki.htzq.htsc.com.cn/x/3neEGg" TargetMode="External"/><Relationship Id="rId42" Type="http://schemas.openxmlformats.org/officeDocument/2006/relationships/hyperlink" Target="http://wiki.htzq.htsc.com.cn/pages/viewpage.action?pageId=425531643" TargetMode="External"/><Relationship Id="rId41" Type="http://schemas.openxmlformats.org/officeDocument/2006/relationships/hyperlink" Target="http://wiki.htzq.htsc.com.cn/pages/viewpage.action?pageId=361829988" TargetMode="External"/><Relationship Id="rId40" Type="http://schemas.openxmlformats.org/officeDocument/2006/relationships/hyperlink" Target="http://wiki.htzq.htsc.com.cn/pages/viewpage.action?pageId=436926902" TargetMode="External"/><Relationship Id="rId4" Type="http://schemas.openxmlformats.org/officeDocument/2006/relationships/hyperlink" Target="http://jira.htzq.htsc.com.cn/browse/FICCHEADS-1082" TargetMode="External"/><Relationship Id="rId39" Type="http://schemas.openxmlformats.org/officeDocument/2006/relationships/hyperlink" Target="http://wiki.htzq.htsc.com.cn/pages/viewpage.action?pageId=433608354" TargetMode="External"/><Relationship Id="rId38" Type="http://schemas.openxmlformats.org/officeDocument/2006/relationships/hyperlink" Target="http://wiki.htzq.htsc.com.cn/pages/viewpage.action?pageId=446814764" TargetMode="External"/><Relationship Id="rId37" Type="http://schemas.openxmlformats.org/officeDocument/2006/relationships/hyperlink" Target="http://jira.htzq.htsc.com.cn/browse/FICC-90916" TargetMode="External"/><Relationship Id="rId36" Type="http://schemas.openxmlformats.org/officeDocument/2006/relationships/hyperlink" Target="http://jira.htzq.htsc.com.cn/browse/FICC-90919" TargetMode="External"/><Relationship Id="rId35" Type="http://schemas.openxmlformats.org/officeDocument/2006/relationships/hyperlink" Target="http://jira.htzq.htsc.com.cn/browse/FICC-90914" TargetMode="External"/><Relationship Id="rId34" Type="http://schemas.openxmlformats.org/officeDocument/2006/relationships/hyperlink" Target="http://jira.htzq.htsc.com.cn/browse/FICC-90911" TargetMode="External"/><Relationship Id="rId33" Type="http://schemas.openxmlformats.org/officeDocument/2006/relationships/hyperlink" Target="http://jira.htzq.htsc.com.cn/browse/FICC-90910" TargetMode="External"/><Relationship Id="rId32" Type="http://schemas.openxmlformats.org/officeDocument/2006/relationships/hyperlink" Target="http://wiki.htzq.htsc.com.cn/pages/viewpage.action?pageId=449443916" TargetMode="External"/><Relationship Id="rId31" Type="http://schemas.openxmlformats.org/officeDocument/2006/relationships/hyperlink" Target="http://wiki.htzq.htsc.com.cn/pages/viewpage.action?pageId=391885489" TargetMode="External"/><Relationship Id="rId30" Type="http://schemas.openxmlformats.org/officeDocument/2006/relationships/hyperlink" Target="http://wiki.htzq.htsc.com.cn/pages/viewpage.action?pageId=428005425" TargetMode="External"/><Relationship Id="rId3" Type="http://schemas.openxmlformats.org/officeDocument/2006/relationships/hyperlink" Target="http://jira.htzq.htsc.com.cn/browse/FICCHEADS-1097" TargetMode="External"/><Relationship Id="rId29" Type="http://schemas.openxmlformats.org/officeDocument/2006/relationships/hyperlink" Target="http://wiki.htzq.htsc.com.cn/pages/viewpage.action?pageId=424315538" TargetMode="External"/><Relationship Id="rId28" Type="http://schemas.openxmlformats.org/officeDocument/2006/relationships/hyperlink" Target="http://wiki.htzq.htsc.com.cn/pages/viewpage.action?pageId=437466519" TargetMode="External"/><Relationship Id="rId27" Type="http://schemas.openxmlformats.org/officeDocument/2006/relationships/hyperlink" Target="http://wiki.htzq.htsc.com.cn/pages/viewpage.action?pageId=446812564" TargetMode="External"/><Relationship Id="rId26" Type="http://schemas.openxmlformats.org/officeDocument/2006/relationships/hyperlink" Target="http://wiki.htzq.htsc.com.cn/pages/viewpage.action?pageId=447356590" TargetMode="External"/><Relationship Id="rId25" Type="http://schemas.openxmlformats.org/officeDocument/2006/relationships/hyperlink" Target="http://wiki.htzq.htsc.com.cn/pages/viewpage.action?pageId=432902954" TargetMode="External"/><Relationship Id="rId24" Type="http://schemas.openxmlformats.org/officeDocument/2006/relationships/hyperlink" Target="http://wiki.htzq.htsc.com.cn/pages/viewpage.action?pageId=441908779" TargetMode="External"/><Relationship Id="rId23" Type="http://schemas.openxmlformats.org/officeDocument/2006/relationships/hyperlink" Target="http://wiki.htzq.htsc.com.cn/pages/viewpage.action?pageId=427262712" TargetMode="External"/><Relationship Id="rId22" Type="http://schemas.openxmlformats.org/officeDocument/2006/relationships/hyperlink" Target="http://wiki.htzq.htsc.com.cn/pages/viewpage.action?pageId=447354129" TargetMode="External"/><Relationship Id="rId21" Type="http://schemas.openxmlformats.org/officeDocument/2006/relationships/hyperlink" Target="http://wiki.htzq.htsc.com.cn/pages/viewpage.action?pageId=448024248" TargetMode="External"/><Relationship Id="rId20" Type="http://schemas.openxmlformats.org/officeDocument/2006/relationships/hyperlink" Target="http://wiki.htzq.htsc.com.cn/pages/viewpage.action?pageId=444859437"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wiki.htzq.htsc.com.cn/pages/viewpage.action?pageId=410373490" TargetMode="External"/><Relationship Id="rId18" Type="http://schemas.openxmlformats.org/officeDocument/2006/relationships/hyperlink" Target="http://wiki.htzq.htsc.com.cn/pages/viewpage.action?pageId=441264337" TargetMode="External"/><Relationship Id="rId17" Type="http://schemas.openxmlformats.org/officeDocument/2006/relationships/hyperlink" Target="http://jira.htzq.htsc.com.cn/browse/FICCHEADS-873" TargetMode="External"/><Relationship Id="rId16" Type="http://schemas.openxmlformats.org/officeDocument/2006/relationships/hyperlink" Target="http://jira.htzq.htsc.com.cn/browse/FICCREQ-433" TargetMode="External"/><Relationship Id="rId15"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14" Type="http://schemas.openxmlformats.org/officeDocument/2006/relationships/hyperlink" Target="http://jira.htzq.htsc.com.cn/browse/FICCHEADS-812" TargetMode="External"/><Relationship Id="rId13" Type="http://schemas.openxmlformats.org/officeDocument/2006/relationships/hyperlink" Target="http://jira.htzq.htsc.com.cn/browse/FICCHEADS-1127" TargetMode="External"/><Relationship Id="rId12" Type="http://schemas.openxmlformats.org/officeDocument/2006/relationships/hyperlink" Target="http://jira.htzq.htsc.com.cn/browse/FICCHEADS-1124" TargetMode="External"/><Relationship Id="rId11" Type="http://schemas.openxmlformats.org/officeDocument/2006/relationships/hyperlink" Target="http://jira.htzq.htsc.com.cn/browse/FICCHEADS-1148" TargetMode="External"/><Relationship Id="rId10" Type="http://schemas.openxmlformats.org/officeDocument/2006/relationships/hyperlink" Target="http://jira.htzq.htsc.com.cn/browse/FICCHEADS-1099" TargetMode="External"/><Relationship Id="rId1" Type="http://schemas.openxmlformats.org/officeDocument/2006/relationships/hyperlink" Target="http://jira.htzq.htsc.com.cn/browse/FICCHEADS-11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4"/>
  <sheetViews>
    <sheetView workbookViewId="0">
      <pane xSplit="4" ySplit="1" topLeftCell="T3" activePane="bottomRight" state="frozen"/>
      <selection/>
      <selection pane="topRight"/>
      <selection pane="bottomLeft"/>
      <selection pane="bottomRight" activeCell="S28" sqref="S28"/>
    </sheetView>
  </sheetViews>
  <sheetFormatPr defaultColWidth="9" defaultRowHeight="13.5" zeroHeight="1"/>
  <cols>
    <col min="1" max="1" width="18.75" style="1" customWidth="1"/>
    <col min="2" max="2" width="20.125" style="1" customWidth="1"/>
    <col min="3" max="3" width="41.3083333333333" style="1" customWidth="1"/>
    <col min="4" max="4" width="38.4" style="1" customWidth="1"/>
    <col min="5" max="5" width="10.875" style="1" customWidth="1"/>
    <col min="6" max="6" width="10.625" style="1" customWidth="1"/>
    <col min="7" max="7" width="13.75" style="1" customWidth="1"/>
    <col min="8" max="8" width="16.625" style="1" customWidth="1"/>
    <col min="9" max="9" width="18" style="1" customWidth="1"/>
    <col min="10" max="10" width="18.25" style="1" customWidth="1"/>
    <col min="11" max="11" width="10" style="1" hidden="1" customWidth="1"/>
    <col min="12" max="12" width="12.5" style="45" customWidth="1"/>
    <col min="13" max="13" width="25.1" style="1" customWidth="1"/>
    <col min="14" max="14" width="13" style="1" customWidth="1"/>
    <col min="15" max="15" width="12.125" style="1" customWidth="1"/>
    <col min="16" max="16" width="11.3916666666667" style="1" customWidth="1"/>
    <col min="17" max="17" width="13.2666666666667" style="1" customWidth="1"/>
    <col min="18" max="18" width="32.7916666666667" style="47" customWidth="1"/>
    <col min="19" max="19" width="42" style="1" customWidth="1"/>
    <col min="20" max="21" width="59.6416666666667" style="1" customWidth="1"/>
    <col min="22" max="16384" width="9" style="1"/>
  </cols>
  <sheetData>
    <row r="1" ht="30" spans="1:20">
      <c r="A1" s="155" t="s">
        <v>0</v>
      </c>
      <c r="B1" s="155" t="s">
        <v>1</v>
      </c>
      <c r="C1" s="155" t="s">
        <v>2</v>
      </c>
      <c r="D1" s="155" t="s">
        <v>3</v>
      </c>
      <c r="E1" s="155" t="s">
        <v>4</v>
      </c>
      <c r="F1" s="155" t="s">
        <v>5</v>
      </c>
      <c r="G1" s="155" t="s">
        <v>6</v>
      </c>
      <c r="H1" s="155" t="s">
        <v>7</v>
      </c>
      <c r="I1" s="155" t="s">
        <v>8</v>
      </c>
      <c r="J1" s="155" t="s">
        <v>9</v>
      </c>
      <c r="K1" s="165" t="s">
        <v>10</v>
      </c>
      <c r="L1" s="165" t="s">
        <v>11</v>
      </c>
      <c r="M1" s="155" t="s">
        <v>12</v>
      </c>
      <c r="N1" s="171" t="s">
        <v>13</v>
      </c>
      <c r="O1" s="172" t="s">
        <v>14</v>
      </c>
      <c r="P1" s="172" t="s">
        <v>15</v>
      </c>
      <c r="Q1" s="172" t="s">
        <v>16</v>
      </c>
      <c r="R1" s="172" t="s">
        <v>17</v>
      </c>
      <c r="S1" s="175" t="s">
        <v>18</v>
      </c>
      <c r="T1" s="172" t="s">
        <v>19</v>
      </c>
    </row>
    <row r="2" ht="51.75" customHeight="1" spans="1:20">
      <c r="A2" s="12" t="s">
        <v>20</v>
      </c>
      <c r="B2" s="61" t="s">
        <v>21</v>
      </c>
      <c r="C2" s="29" t="s">
        <v>22</v>
      </c>
      <c r="D2" s="29"/>
      <c r="E2" s="60" t="s">
        <v>23</v>
      </c>
      <c r="F2" s="60" t="s">
        <v>24</v>
      </c>
      <c r="G2" s="60" t="s">
        <v>25</v>
      </c>
      <c r="H2" s="60" t="s">
        <v>26</v>
      </c>
      <c r="I2" s="60" t="s">
        <v>27</v>
      </c>
      <c r="J2" s="60" t="s">
        <v>28</v>
      </c>
      <c r="K2" s="99" t="s">
        <v>29</v>
      </c>
      <c r="L2" s="60" t="s">
        <v>30</v>
      </c>
      <c r="M2" s="60" t="s">
        <v>31</v>
      </c>
      <c r="N2" s="99" t="s">
        <v>32</v>
      </c>
      <c r="O2" s="99" t="s">
        <v>33</v>
      </c>
      <c r="P2" s="99" t="s">
        <v>34</v>
      </c>
      <c r="Q2" s="99" t="s">
        <v>34</v>
      </c>
      <c r="R2" s="6" t="s">
        <v>35</v>
      </c>
      <c r="S2" s="6" t="s">
        <v>36</v>
      </c>
      <c r="T2" s="6" t="s">
        <v>37</v>
      </c>
    </row>
    <row r="3" ht="36.95" customHeight="1" spans="1:20">
      <c r="A3" s="12" t="s">
        <v>20</v>
      </c>
      <c r="B3" s="61" t="s">
        <v>38</v>
      </c>
      <c r="C3" s="29" t="s">
        <v>39</v>
      </c>
      <c r="D3" s="29"/>
      <c r="E3" s="60" t="s">
        <v>23</v>
      </c>
      <c r="F3" s="60" t="s">
        <v>40</v>
      </c>
      <c r="G3" s="60" t="s">
        <v>41</v>
      </c>
      <c r="H3" s="60" t="s">
        <v>42</v>
      </c>
      <c r="I3" s="60" t="s">
        <v>43</v>
      </c>
      <c r="J3" s="60" t="s">
        <v>44</v>
      </c>
      <c r="K3" s="80" t="s">
        <v>45</v>
      </c>
      <c r="L3" s="80" t="s">
        <v>46</v>
      </c>
      <c r="M3" s="60" t="s">
        <v>31</v>
      </c>
      <c r="N3" s="99" t="s">
        <v>47</v>
      </c>
      <c r="O3" s="99" t="s">
        <v>48</v>
      </c>
      <c r="P3" s="99" t="s">
        <v>34</v>
      </c>
      <c r="Q3" s="99" t="s">
        <v>34</v>
      </c>
      <c r="R3" s="145" t="s">
        <v>49</v>
      </c>
      <c r="S3" s="6" t="s">
        <v>50</v>
      </c>
      <c r="T3" s="176" t="s">
        <v>51</v>
      </c>
    </row>
    <row r="4" s="1" customFormat="1" ht="30.85" customHeight="1" spans="1:20">
      <c r="A4" s="13" t="s">
        <v>20</v>
      </c>
      <c r="B4" s="63" t="s">
        <v>52</v>
      </c>
      <c r="C4" s="142" t="s">
        <v>53</v>
      </c>
      <c r="D4" s="142"/>
      <c r="E4" s="60" t="s">
        <v>23</v>
      </c>
      <c r="F4" s="80"/>
      <c r="G4" s="80"/>
      <c r="H4" s="80"/>
      <c r="I4" s="60" t="s">
        <v>27</v>
      </c>
      <c r="J4" s="80"/>
      <c r="K4" s="80"/>
      <c r="L4" s="80" t="s">
        <v>54</v>
      </c>
      <c r="M4" s="60" t="s">
        <v>31</v>
      </c>
      <c r="N4" s="12" t="s">
        <v>32</v>
      </c>
      <c r="O4" s="99" t="s">
        <v>55</v>
      </c>
      <c r="P4" s="99" t="s">
        <v>34</v>
      </c>
      <c r="Q4" s="99" t="s">
        <v>56</v>
      </c>
      <c r="R4" s="113" t="s">
        <v>57</v>
      </c>
      <c r="S4" s="6" t="s">
        <v>58</v>
      </c>
      <c r="T4" s="12" t="s">
        <v>59</v>
      </c>
    </row>
    <row r="5" s="1" customFormat="1" ht="52.05" customHeight="1" spans="1:20">
      <c r="A5" s="12" t="s">
        <v>60</v>
      </c>
      <c r="B5" s="61" t="s">
        <v>61</v>
      </c>
      <c r="C5" s="156" t="s">
        <v>62</v>
      </c>
      <c r="D5" s="29"/>
      <c r="E5" s="60" t="s">
        <v>63</v>
      </c>
      <c r="F5" s="60" t="s">
        <v>64</v>
      </c>
      <c r="G5" s="60" t="s">
        <v>65</v>
      </c>
      <c r="H5" s="60" t="s">
        <v>66</v>
      </c>
      <c r="I5" s="60" t="s">
        <v>67</v>
      </c>
      <c r="J5" s="60" t="s">
        <v>68</v>
      </c>
      <c r="K5" s="80" t="s">
        <v>69</v>
      </c>
      <c r="L5" s="80" t="s">
        <v>30</v>
      </c>
      <c r="M5" s="60" t="s">
        <v>31</v>
      </c>
      <c r="N5" s="99" t="s">
        <v>70</v>
      </c>
      <c r="O5" s="99" t="s">
        <v>71</v>
      </c>
      <c r="P5" s="99" t="s">
        <v>34</v>
      </c>
      <c r="Q5" s="99" t="s">
        <v>34</v>
      </c>
      <c r="R5" s="6" t="s">
        <v>35</v>
      </c>
      <c r="S5" s="6" t="s">
        <v>72</v>
      </c>
      <c r="T5" s="177" t="s">
        <v>73</v>
      </c>
    </row>
    <row r="6" ht="16.5" spans="1:20">
      <c r="A6" s="12" t="s">
        <v>60</v>
      </c>
      <c r="B6" s="61" t="s">
        <v>74</v>
      </c>
      <c r="C6" s="29" t="s">
        <v>75</v>
      </c>
      <c r="D6" s="29"/>
      <c r="E6" s="60" t="s">
        <v>63</v>
      </c>
      <c r="F6" s="60" t="s">
        <v>76</v>
      </c>
      <c r="G6" s="60" t="s">
        <v>77</v>
      </c>
      <c r="H6" s="60" t="s">
        <v>78</v>
      </c>
      <c r="I6" s="60" t="s">
        <v>79</v>
      </c>
      <c r="J6" s="60" t="s">
        <v>80</v>
      </c>
      <c r="K6" s="80" t="s">
        <v>81</v>
      </c>
      <c r="L6" s="80" t="s">
        <v>82</v>
      </c>
      <c r="M6" s="60" t="s">
        <v>31</v>
      </c>
      <c r="N6" s="94" t="s">
        <v>83</v>
      </c>
      <c r="O6" s="94" t="s">
        <v>84</v>
      </c>
      <c r="P6" s="99" t="s">
        <v>34</v>
      </c>
      <c r="Q6" s="99" t="s">
        <v>34</v>
      </c>
      <c r="R6" s="6" t="s">
        <v>35</v>
      </c>
      <c r="S6" s="6" t="s">
        <v>85</v>
      </c>
      <c r="T6" s="177" t="s">
        <v>86</v>
      </c>
    </row>
    <row r="7" ht="29.3" customHeight="1" spans="1:20">
      <c r="A7" s="12" t="s">
        <v>60</v>
      </c>
      <c r="B7" s="61" t="s">
        <v>87</v>
      </c>
      <c r="C7" s="156" t="s">
        <v>88</v>
      </c>
      <c r="D7" s="29"/>
      <c r="E7" s="60" t="s">
        <v>63</v>
      </c>
      <c r="F7" s="60" t="s">
        <v>76</v>
      </c>
      <c r="G7" s="60" t="s">
        <v>89</v>
      </c>
      <c r="H7" s="60" t="s">
        <v>90</v>
      </c>
      <c r="I7" s="60" t="s">
        <v>67</v>
      </c>
      <c r="J7" s="60" t="s">
        <v>68</v>
      </c>
      <c r="K7" s="80" t="s">
        <v>91</v>
      </c>
      <c r="L7" s="80" t="s">
        <v>30</v>
      </c>
      <c r="M7" s="60" t="s">
        <v>31</v>
      </c>
      <c r="N7" s="99" t="s">
        <v>47</v>
      </c>
      <c r="O7" s="99" t="s">
        <v>92</v>
      </c>
      <c r="P7" s="99" t="s">
        <v>34</v>
      </c>
      <c r="Q7" s="99" t="s">
        <v>34</v>
      </c>
      <c r="R7" s="6" t="s">
        <v>93</v>
      </c>
      <c r="S7" s="6" t="s">
        <v>94</v>
      </c>
      <c r="T7" s="178" t="s">
        <v>95</v>
      </c>
    </row>
    <row r="8" ht="66" spans="1:20">
      <c r="A8" s="157" t="s">
        <v>60</v>
      </c>
      <c r="B8" s="66" t="s">
        <v>96</v>
      </c>
      <c r="C8" s="67" t="s">
        <v>97</v>
      </c>
      <c r="D8" s="67" t="s">
        <v>98</v>
      </c>
      <c r="E8" s="60" t="s">
        <v>63</v>
      </c>
      <c r="F8" s="60" t="s">
        <v>76</v>
      </c>
      <c r="G8" s="60" t="s">
        <v>77</v>
      </c>
      <c r="H8" s="60" t="s">
        <v>99</v>
      </c>
      <c r="I8" s="65" t="s">
        <v>79</v>
      </c>
      <c r="J8" s="65" t="s">
        <v>80</v>
      </c>
      <c r="K8" s="80"/>
      <c r="L8" s="60" t="s">
        <v>46</v>
      </c>
      <c r="M8" s="67" t="s">
        <v>100</v>
      </c>
      <c r="N8" s="99" t="s">
        <v>83</v>
      </c>
      <c r="O8" s="99" t="s">
        <v>84</v>
      </c>
      <c r="P8" s="99" t="s">
        <v>34</v>
      </c>
      <c r="Q8" s="99" t="s">
        <v>34</v>
      </c>
      <c r="R8" s="6" t="s">
        <v>93</v>
      </c>
      <c r="S8" s="6" t="s">
        <v>101</v>
      </c>
      <c r="T8" s="178" t="s">
        <v>95</v>
      </c>
    </row>
    <row r="9" ht="49.5" spans="1:20">
      <c r="A9" s="157" t="s">
        <v>60</v>
      </c>
      <c r="B9" s="61" t="s">
        <v>102</v>
      </c>
      <c r="C9" s="29" t="s">
        <v>103</v>
      </c>
      <c r="D9" s="29" t="s">
        <v>104</v>
      </c>
      <c r="E9" s="132" t="s">
        <v>63</v>
      </c>
      <c r="F9" s="80" t="s">
        <v>76</v>
      </c>
      <c r="G9" s="80" t="s">
        <v>89</v>
      </c>
      <c r="H9" s="80" t="s">
        <v>105</v>
      </c>
      <c r="I9" s="60" t="s">
        <v>106</v>
      </c>
      <c r="J9" s="60" t="s">
        <v>107</v>
      </c>
      <c r="K9" s="166"/>
      <c r="L9" s="60" t="s">
        <v>30</v>
      </c>
      <c r="M9" s="29" t="s">
        <v>108</v>
      </c>
      <c r="N9" s="91" t="s">
        <v>109</v>
      </c>
      <c r="O9" s="99" t="s">
        <v>92</v>
      </c>
      <c r="P9" s="99" t="s">
        <v>34</v>
      </c>
      <c r="Q9" s="99" t="s">
        <v>56</v>
      </c>
      <c r="R9" s="145" t="s">
        <v>57</v>
      </c>
      <c r="S9" s="6" t="s">
        <v>110</v>
      </c>
      <c r="T9" s="145" t="s">
        <v>111</v>
      </c>
    </row>
    <row r="10" ht="49.5" spans="1:20">
      <c r="A10" s="157" t="s">
        <v>20</v>
      </c>
      <c r="B10" s="61" t="s">
        <v>112</v>
      </c>
      <c r="C10" s="29" t="s">
        <v>113</v>
      </c>
      <c r="D10" s="29" t="s">
        <v>114</v>
      </c>
      <c r="E10" s="68" t="s">
        <v>23</v>
      </c>
      <c r="F10" s="60" t="s">
        <v>64</v>
      </c>
      <c r="G10" s="60" t="s">
        <v>115</v>
      </c>
      <c r="H10" s="60" t="s">
        <v>26</v>
      </c>
      <c r="I10" s="60" t="s">
        <v>106</v>
      </c>
      <c r="J10" s="60" t="s">
        <v>116</v>
      </c>
      <c r="K10" s="80"/>
      <c r="L10" s="60" t="s">
        <v>117</v>
      </c>
      <c r="M10" s="29" t="s">
        <v>118</v>
      </c>
      <c r="N10" s="94" t="s">
        <v>119</v>
      </c>
      <c r="O10" s="94" t="s">
        <v>71</v>
      </c>
      <c r="P10" s="99" t="s">
        <v>34</v>
      </c>
      <c r="Q10" s="99" t="s">
        <v>34</v>
      </c>
      <c r="R10" s="6" t="s">
        <v>93</v>
      </c>
      <c r="S10" s="6" t="s">
        <v>120</v>
      </c>
      <c r="T10" s="60" t="s">
        <v>121</v>
      </c>
    </row>
    <row r="11" ht="37.15" customHeight="1" spans="1:20">
      <c r="A11" s="157" t="s">
        <v>60</v>
      </c>
      <c r="B11" s="61" t="s">
        <v>122</v>
      </c>
      <c r="C11" s="29" t="s">
        <v>123</v>
      </c>
      <c r="D11" s="29" t="s">
        <v>124</v>
      </c>
      <c r="E11" s="60" t="s">
        <v>63</v>
      </c>
      <c r="F11" s="60" t="s">
        <v>125</v>
      </c>
      <c r="G11" s="60" t="s">
        <v>126</v>
      </c>
      <c r="H11" s="60" t="s">
        <v>26</v>
      </c>
      <c r="I11" s="60" t="s">
        <v>106</v>
      </c>
      <c r="J11" s="60" t="s">
        <v>127</v>
      </c>
      <c r="K11" s="80"/>
      <c r="L11" s="60" t="s">
        <v>54</v>
      </c>
      <c r="M11" s="29" t="s">
        <v>128</v>
      </c>
      <c r="N11" s="99" t="s">
        <v>129</v>
      </c>
      <c r="O11" s="99" t="s">
        <v>55</v>
      </c>
      <c r="P11" s="99" t="s">
        <v>34</v>
      </c>
      <c r="Q11" s="99" t="s">
        <v>56</v>
      </c>
      <c r="R11" s="6" t="s">
        <v>57</v>
      </c>
      <c r="S11" s="6" t="s">
        <v>130</v>
      </c>
      <c r="T11" s="6" t="s">
        <v>131</v>
      </c>
    </row>
    <row r="12" ht="66" spans="1:20">
      <c r="A12" s="158" t="s">
        <v>20</v>
      </c>
      <c r="B12" s="66" t="s">
        <v>132</v>
      </c>
      <c r="C12" s="67" t="s">
        <v>133</v>
      </c>
      <c r="D12" s="67" t="s">
        <v>134</v>
      </c>
      <c r="E12" s="60" t="s">
        <v>23</v>
      </c>
      <c r="F12" s="60" t="s">
        <v>64</v>
      </c>
      <c r="G12" s="99" t="s">
        <v>135</v>
      </c>
      <c r="H12" s="60" t="s">
        <v>136</v>
      </c>
      <c r="I12" s="65" t="s">
        <v>106</v>
      </c>
      <c r="J12" s="65" t="s">
        <v>137</v>
      </c>
      <c r="K12" s="12"/>
      <c r="L12" s="60" t="s">
        <v>138</v>
      </c>
      <c r="M12" s="67" t="s">
        <v>139</v>
      </c>
      <c r="N12" s="12" t="s">
        <v>129</v>
      </c>
      <c r="O12" s="12" t="s">
        <v>55</v>
      </c>
      <c r="P12" s="99" t="s">
        <v>34</v>
      </c>
      <c r="Q12" s="99" t="s">
        <v>34</v>
      </c>
      <c r="R12" s="145" t="s">
        <v>93</v>
      </c>
      <c r="S12" s="6" t="s">
        <v>140</v>
      </c>
      <c r="T12" s="147" t="s">
        <v>141</v>
      </c>
    </row>
    <row r="13" ht="49.5" spans="1:20">
      <c r="A13" s="158" t="s">
        <v>20</v>
      </c>
      <c r="B13" s="61" t="s">
        <v>142</v>
      </c>
      <c r="C13" s="29" t="s">
        <v>143</v>
      </c>
      <c r="D13" s="29" t="s">
        <v>144</v>
      </c>
      <c r="E13" s="60" t="s">
        <v>23</v>
      </c>
      <c r="F13" s="99" t="s">
        <v>24</v>
      </c>
      <c r="G13" s="99" t="s">
        <v>25</v>
      </c>
      <c r="H13" s="60" t="s">
        <v>136</v>
      </c>
      <c r="I13" s="60" t="s">
        <v>27</v>
      </c>
      <c r="J13" s="60" t="s">
        <v>28</v>
      </c>
      <c r="K13" s="12"/>
      <c r="L13" s="60" t="s">
        <v>54</v>
      </c>
      <c r="M13" s="29" t="s">
        <v>145</v>
      </c>
      <c r="N13" s="12" t="s">
        <v>129</v>
      </c>
      <c r="O13" s="12" t="s">
        <v>33</v>
      </c>
      <c r="P13" s="99" t="s">
        <v>34</v>
      </c>
      <c r="Q13" s="99" t="s">
        <v>34</v>
      </c>
      <c r="R13" s="6" t="s">
        <v>93</v>
      </c>
      <c r="S13" s="6" t="s">
        <v>146</v>
      </c>
      <c r="T13" s="147" t="s">
        <v>147</v>
      </c>
    </row>
    <row r="14" ht="66" spans="1:20">
      <c r="A14" s="157" t="s">
        <v>60</v>
      </c>
      <c r="B14" s="61" t="s">
        <v>148</v>
      </c>
      <c r="C14" s="29" t="s">
        <v>149</v>
      </c>
      <c r="D14" s="29" t="s">
        <v>150</v>
      </c>
      <c r="E14" s="60" t="s">
        <v>63</v>
      </c>
      <c r="F14" s="60" t="s">
        <v>64</v>
      </c>
      <c r="G14" s="99" t="s">
        <v>151</v>
      </c>
      <c r="H14" s="60" t="s">
        <v>152</v>
      </c>
      <c r="I14" s="60" t="s">
        <v>27</v>
      </c>
      <c r="J14" s="60" t="s">
        <v>153</v>
      </c>
      <c r="K14" s="167"/>
      <c r="L14" s="60" t="s">
        <v>154</v>
      </c>
      <c r="M14" s="29" t="s">
        <v>155</v>
      </c>
      <c r="N14" s="12" t="s">
        <v>83</v>
      </c>
      <c r="O14" s="12" t="s">
        <v>71</v>
      </c>
      <c r="P14" s="99" t="s">
        <v>34</v>
      </c>
      <c r="Q14" s="99" t="s">
        <v>34</v>
      </c>
      <c r="R14" s="145" t="s">
        <v>35</v>
      </c>
      <c r="S14" s="6" t="s">
        <v>156</v>
      </c>
      <c r="T14" s="179" t="s">
        <v>157</v>
      </c>
    </row>
    <row r="15" ht="32.65" customHeight="1" spans="1:20">
      <c r="A15" s="157" t="s">
        <v>60</v>
      </c>
      <c r="B15" s="61" t="s">
        <v>158</v>
      </c>
      <c r="C15" s="29" t="s">
        <v>159</v>
      </c>
      <c r="D15" s="29" t="s">
        <v>160</v>
      </c>
      <c r="E15" s="60" t="s">
        <v>63</v>
      </c>
      <c r="F15" s="60" t="s">
        <v>161</v>
      </c>
      <c r="G15" s="99" t="s">
        <v>162</v>
      </c>
      <c r="H15" s="60" t="s">
        <v>163</v>
      </c>
      <c r="I15" s="60" t="s">
        <v>27</v>
      </c>
      <c r="J15" s="60" t="s">
        <v>153</v>
      </c>
      <c r="K15" s="168"/>
      <c r="L15" s="60" t="s">
        <v>154</v>
      </c>
      <c r="M15" s="29" t="s">
        <v>164</v>
      </c>
      <c r="N15" s="12" t="s">
        <v>109</v>
      </c>
      <c r="O15" s="12" t="s">
        <v>71</v>
      </c>
      <c r="P15" s="99" t="s">
        <v>34</v>
      </c>
      <c r="Q15" s="99" t="s">
        <v>56</v>
      </c>
      <c r="R15" s="145" t="s">
        <v>57</v>
      </c>
      <c r="S15" s="6" t="s">
        <v>165</v>
      </c>
      <c r="T15" s="144" t="s">
        <v>166</v>
      </c>
    </row>
    <row r="16" ht="33" spans="1:20">
      <c r="A16" s="157" t="s">
        <v>60</v>
      </c>
      <c r="B16" s="61" t="s">
        <v>167</v>
      </c>
      <c r="C16" s="29" t="s">
        <v>168</v>
      </c>
      <c r="D16" s="29" t="s">
        <v>169</v>
      </c>
      <c r="E16" s="60" t="s">
        <v>63</v>
      </c>
      <c r="F16" s="60" t="s">
        <v>64</v>
      </c>
      <c r="G16" s="99" t="s">
        <v>170</v>
      </c>
      <c r="H16" s="60" t="s">
        <v>42</v>
      </c>
      <c r="I16" s="60" t="s">
        <v>171</v>
      </c>
      <c r="J16" s="60" t="s">
        <v>172</v>
      </c>
      <c r="K16" s="13"/>
      <c r="L16" s="60" t="s">
        <v>154</v>
      </c>
      <c r="M16" s="29" t="s">
        <v>173</v>
      </c>
      <c r="N16" s="12" t="s">
        <v>174</v>
      </c>
      <c r="O16" s="173"/>
      <c r="P16" s="99" t="s">
        <v>34</v>
      </c>
      <c r="Q16" s="99" t="s">
        <v>34</v>
      </c>
      <c r="R16" s="180"/>
      <c r="S16" s="6" t="s">
        <v>175</v>
      </c>
      <c r="T16" s="144" t="s">
        <v>176</v>
      </c>
    </row>
    <row r="17" ht="35.75" customHeight="1" spans="1:20">
      <c r="A17" s="157" t="s">
        <v>60</v>
      </c>
      <c r="B17" s="61" t="s">
        <v>177</v>
      </c>
      <c r="C17" s="29" t="s">
        <v>178</v>
      </c>
      <c r="D17" s="29" t="s">
        <v>179</v>
      </c>
      <c r="E17" s="60" t="s">
        <v>63</v>
      </c>
      <c r="F17" s="60" t="s">
        <v>180</v>
      </c>
      <c r="G17" s="99" t="s">
        <v>126</v>
      </c>
      <c r="H17" s="60" t="s">
        <v>181</v>
      </c>
      <c r="I17" s="60" t="s">
        <v>171</v>
      </c>
      <c r="J17" s="60" t="s">
        <v>172</v>
      </c>
      <c r="K17" s="167"/>
      <c r="L17" s="60" t="s">
        <v>154</v>
      </c>
      <c r="M17" s="29" t="s">
        <v>182</v>
      </c>
      <c r="N17" s="12" t="s">
        <v>174</v>
      </c>
      <c r="O17" s="12" t="s">
        <v>71</v>
      </c>
      <c r="P17" s="99" t="s">
        <v>34</v>
      </c>
      <c r="Q17" s="99" t="s">
        <v>56</v>
      </c>
      <c r="R17" s="145" t="s">
        <v>57</v>
      </c>
      <c r="S17" s="6" t="s">
        <v>130</v>
      </c>
      <c r="T17" s="145" t="s">
        <v>183</v>
      </c>
    </row>
    <row r="18" ht="37.4" customHeight="1" spans="1:20">
      <c r="A18" s="157" t="s">
        <v>60</v>
      </c>
      <c r="B18" s="61" t="s">
        <v>184</v>
      </c>
      <c r="C18" s="29" t="s">
        <v>185</v>
      </c>
      <c r="D18" s="29" t="s">
        <v>186</v>
      </c>
      <c r="E18" s="60" t="s">
        <v>63</v>
      </c>
      <c r="F18" s="60" t="s">
        <v>76</v>
      </c>
      <c r="G18" s="99" t="s">
        <v>187</v>
      </c>
      <c r="H18" s="60" t="s">
        <v>188</v>
      </c>
      <c r="I18" s="60" t="s">
        <v>171</v>
      </c>
      <c r="J18" s="60" t="s">
        <v>172</v>
      </c>
      <c r="K18" s="167"/>
      <c r="L18" s="60" t="s">
        <v>154</v>
      </c>
      <c r="M18" s="29" t="s">
        <v>189</v>
      </c>
      <c r="N18" s="12" t="s">
        <v>174</v>
      </c>
      <c r="O18" s="12" t="s">
        <v>71</v>
      </c>
      <c r="P18" s="99" t="s">
        <v>34</v>
      </c>
      <c r="Q18" s="99" t="s">
        <v>56</v>
      </c>
      <c r="R18" s="145" t="s">
        <v>57</v>
      </c>
      <c r="S18" s="6" t="s">
        <v>130</v>
      </c>
      <c r="T18" s="144" t="s">
        <v>166</v>
      </c>
    </row>
    <row r="19" ht="37.4" customHeight="1" spans="1:20">
      <c r="A19" s="157" t="s">
        <v>60</v>
      </c>
      <c r="B19" s="66" t="s">
        <v>190</v>
      </c>
      <c r="C19" s="67" t="s">
        <v>191</v>
      </c>
      <c r="D19" s="67" t="s">
        <v>192</v>
      </c>
      <c r="E19" s="60" t="s">
        <v>63</v>
      </c>
      <c r="F19" s="60" t="s">
        <v>193</v>
      </c>
      <c r="G19" s="99" t="s">
        <v>194</v>
      </c>
      <c r="H19" s="60" t="s">
        <v>195</v>
      </c>
      <c r="I19" s="65" t="s">
        <v>171</v>
      </c>
      <c r="J19" s="65" t="s">
        <v>172</v>
      </c>
      <c r="K19" s="167"/>
      <c r="L19" s="60" t="s">
        <v>154</v>
      </c>
      <c r="M19" s="67" t="s">
        <v>196</v>
      </c>
      <c r="N19" s="12" t="s">
        <v>174</v>
      </c>
      <c r="O19" s="12" t="s">
        <v>71</v>
      </c>
      <c r="P19" s="99" t="s">
        <v>34</v>
      </c>
      <c r="Q19" s="99" t="s">
        <v>56</v>
      </c>
      <c r="R19" s="145" t="s">
        <v>57</v>
      </c>
      <c r="S19" s="6" t="s">
        <v>130</v>
      </c>
      <c r="T19" s="144" t="s">
        <v>166</v>
      </c>
    </row>
    <row r="20" ht="66" spans="1:20">
      <c r="A20" s="157" t="s">
        <v>60</v>
      </c>
      <c r="B20" s="61" t="s">
        <v>197</v>
      </c>
      <c r="C20" s="29" t="s">
        <v>198</v>
      </c>
      <c r="D20" s="29" t="s">
        <v>199</v>
      </c>
      <c r="E20" s="60" t="s">
        <v>63</v>
      </c>
      <c r="F20" s="60" t="s">
        <v>40</v>
      </c>
      <c r="G20" s="99" t="s">
        <v>200</v>
      </c>
      <c r="H20" s="60" t="s">
        <v>201</v>
      </c>
      <c r="I20" s="60" t="s">
        <v>43</v>
      </c>
      <c r="J20" s="60"/>
      <c r="K20" s="13"/>
      <c r="L20" s="60" t="s">
        <v>202</v>
      </c>
      <c r="M20" s="29" t="s">
        <v>203</v>
      </c>
      <c r="N20" s="12" t="s">
        <v>204</v>
      </c>
      <c r="O20" s="99" t="s">
        <v>84</v>
      </c>
      <c r="P20" s="99" t="s">
        <v>34</v>
      </c>
      <c r="Q20" s="99" t="s">
        <v>34</v>
      </c>
      <c r="R20" s="145" t="s">
        <v>93</v>
      </c>
      <c r="S20" s="6" t="s">
        <v>205</v>
      </c>
      <c r="T20" s="176" t="s">
        <v>206</v>
      </c>
    </row>
    <row r="21" ht="37.4" customHeight="1" spans="1:20">
      <c r="A21" s="157" t="s">
        <v>60</v>
      </c>
      <c r="B21" s="61" t="s">
        <v>207</v>
      </c>
      <c r="C21" s="29" t="s">
        <v>208</v>
      </c>
      <c r="D21" s="29" t="s">
        <v>209</v>
      </c>
      <c r="E21" s="60" t="s">
        <v>63</v>
      </c>
      <c r="F21" s="60" t="s">
        <v>210</v>
      </c>
      <c r="G21" s="99" t="s">
        <v>200</v>
      </c>
      <c r="H21" s="60" t="s">
        <v>201</v>
      </c>
      <c r="I21" s="60" t="s">
        <v>43</v>
      </c>
      <c r="J21" s="60"/>
      <c r="K21" s="13"/>
      <c r="L21" s="60" t="s">
        <v>202</v>
      </c>
      <c r="M21" s="29" t="s">
        <v>211</v>
      </c>
      <c r="N21" s="12" t="s">
        <v>204</v>
      </c>
      <c r="O21" s="99" t="s">
        <v>84</v>
      </c>
      <c r="P21" s="99" t="s">
        <v>34</v>
      </c>
      <c r="Q21" s="99" t="s">
        <v>34</v>
      </c>
      <c r="R21" s="145" t="s">
        <v>212</v>
      </c>
      <c r="S21" s="6" t="s">
        <v>213</v>
      </c>
      <c r="T21" s="176" t="s">
        <v>206</v>
      </c>
    </row>
    <row r="22" ht="37.4" customHeight="1" spans="1:20">
      <c r="A22" s="157" t="s">
        <v>60</v>
      </c>
      <c r="B22" s="159" t="s">
        <v>214</v>
      </c>
      <c r="C22" s="160" t="s">
        <v>215</v>
      </c>
      <c r="D22" s="160" t="s">
        <v>216</v>
      </c>
      <c r="E22" s="60" t="s">
        <v>63</v>
      </c>
      <c r="F22" s="60" t="s">
        <v>210</v>
      </c>
      <c r="G22" s="99" t="s">
        <v>200</v>
      </c>
      <c r="H22" s="60" t="s">
        <v>201</v>
      </c>
      <c r="I22" s="60" t="s">
        <v>43</v>
      </c>
      <c r="J22" s="60"/>
      <c r="K22" s="13"/>
      <c r="L22" s="60" t="s">
        <v>202</v>
      </c>
      <c r="M22" s="67" t="s">
        <v>217</v>
      </c>
      <c r="N22" s="12" t="s">
        <v>204</v>
      </c>
      <c r="O22" s="99" t="s">
        <v>84</v>
      </c>
      <c r="P22" s="99" t="s">
        <v>34</v>
      </c>
      <c r="Q22" s="99" t="s">
        <v>34</v>
      </c>
      <c r="R22" s="145" t="s">
        <v>212</v>
      </c>
      <c r="S22" s="6" t="s">
        <v>218</v>
      </c>
      <c r="T22" s="176" t="s">
        <v>206</v>
      </c>
    </row>
    <row r="23" ht="37.4" customHeight="1" spans="1:20">
      <c r="A23" s="157" t="s">
        <v>60</v>
      </c>
      <c r="B23" s="66" t="s">
        <v>219</v>
      </c>
      <c r="C23" s="67" t="s">
        <v>220</v>
      </c>
      <c r="D23" s="67" t="s">
        <v>221</v>
      </c>
      <c r="E23" s="60" t="s">
        <v>63</v>
      </c>
      <c r="F23" s="60" t="s">
        <v>40</v>
      </c>
      <c r="G23" s="99" t="s">
        <v>200</v>
      </c>
      <c r="H23" s="60" t="s">
        <v>201</v>
      </c>
      <c r="I23" s="79" t="s">
        <v>43</v>
      </c>
      <c r="J23" s="103"/>
      <c r="K23" s="13"/>
      <c r="L23" s="60" t="s">
        <v>202</v>
      </c>
      <c r="M23" s="67" t="s">
        <v>222</v>
      </c>
      <c r="N23" s="12" t="s">
        <v>204</v>
      </c>
      <c r="O23" s="99" t="s">
        <v>84</v>
      </c>
      <c r="P23" s="99" t="s">
        <v>34</v>
      </c>
      <c r="Q23" s="99" t="s">
        <v>34</v>
      </c>
      <c r="R23" s="145" t="s">
        <v>212</v>
      </c>
      <c r="S23" s="6" t="s">
        <v>223</v>
      </c>
      <c r="T23" s="176" t="s">
        <v>206</v>
      </c>
    </row>
    <row r="24" ht="37.4" customHeight="1" spans="1:20">
      <c r="A24" s="157" t="s">
        <v>60</v>
      </c>
      <c r="B24" s="61" t="s">
        <v>224</v>
      </c>
      <c r="C24" s="29" t="s">
        <v>225</v>
      </c>
      <c r="D24" s="29" t="s">
        <v>226</v>
      </c>
      <c r="E24" s="60" t="s">
        <v>63</v>
      </c>
      <c r="F24" s="60" t="s">
        <v>227</v>
      </c>
      <c r="G24" s="99" t="s">
        <v>228</v>
      </c>
      <c r="H24" s="60" t="s">
        <v>66</v>
      </c>
      <c r="I24" s="81" t="s">
        <v>67</v>
      </c>
      <c r="J24" s="60" t="s">
        <v>68</v>
      </c>
      <c r="K24" s="13"/>
      <c r="L24" s="60" t="s">
        <v>30</v>
      </c>
      <c r="M24" s="29" t="s">
        <v>229</v>
      </c>
      <c r="N24" s="12" t="s">
        <v>70</v>
      </c>
      <c r="O24" s="12" t="s">
        <v>71</v>
      </c>
      <c r="P24" s="99" t="s">
        <v>34</v>
      </c>
      <c r="Q24" s="99" t="s">
        <v>56</v>
      </c>
      <c r="R24" s="145" t="s">
        <v>57</v>
      </c>
      <c r="S24" s="6" t="s">
        <v>130</v>
      </c>
      <c r="T24" s="144" t="s">
        <v>230</v>
      </c>
    </row>
    <row r="25" ht="37.4" customHeight="1" spans="1:20">
      <c r="A25" s="157" t="s">
        <v>60</v>
      </c>
      <c r="B25" s="61" t="s">
        <v>231</v>
      </c>
      <c r="C25" s="29" t="s">
        <v>232</v>
      </c>
      <c r="D25" s="29" t="s">
        <v>233</v>
      </c>
      <c r="E25" s="60" t="s">
        <v>63</v>
      </c>
      <c r="F25" s="60" t="s">
        <v>76</v>
      </c>
      <c r="G25" s="99" t="s">
        <v>89</v>
      </c>
      <c r="H25" s="60" t="s">
        <v>234</v>
      </c>
      <c r="I25" s="81" t="s">
        <v>67</v>
      </c>
      <c r="J25" s="60" t="s">
        <v>68</v>
      </c>
      <c r="K25" s="167"/>
      <c r="L25" s="60" t="s">
        <v>30</v>
      </c>
      <c r="M25" s="29" t="s">
        <v>235</v>
      </c>
      <c r="N25" s="12" t="s">
        <v>47</v>
      </c>
      <c r="O25" s="12" t="s">
        <v>92</v>
      </c>
      <c r="P25" s="99" t="s">
        <v>34</v>
      </c>
      <c r="Q25" s="99" t="s">
        <v>56</v>
      </c>
      <c r="R25" s="145" t="s">
        <v>236</v>
      </c>
      <c r="S25" s="6" t="s">
        <v>237</v>
      </c>
      <c r="T25" s="145" t="s">
        <v>238</v>
      </c>
    </row>
    <row r="26" ht="37.4" customHeight="1" spans="1:20">
      <c r="A26" s="157" t="s">
        <v>60</v>
      </c>
      <c r="B26" s="61" t="s">
        <v>239</v>
      </c>
      <c r="C26" s="29" t="s">
        <v>240</v>
      </c>
      <c r="D26" s="29" t="s">
        <v>241</v>
      </c>
      <c r="E26" s="80" t="s">
        <v>63</v>
      </c>
      <c r="F26" s="80" t="s">
        <v>76</v>
      </c>
      <c r="G26" s="80" t="s">
        <v>89</v>
      </c>
      <c r="H26" s="80" t="s">
        <v>90</v>
      </c>
      <c r="I26" s="81" t="s">
        <v>67</v>
      </c>
      <c r="J26" s="60" t="s">
        <v>68</v>
      </c>
      <c r="K26" s="13"/>
      <c r="L26" s="60" t="s">
        <v>30</v>
      </c>
      <c r="M26" s="29" t="s">
        <v>242</v>
      </c>
      <c r="N26" s="12" t="s">
        <v>47</v>
      </c>
      <c r="O26" s="99" t="s">
        <v>55</v>
      </c>
      <c r="P26" s="13" t="s">
        <v>34</v>
      </c>
      <c r="Q26" s="13" t="s">
        <v>34</v>
      </c>
      <c r="R26" s="113" t="s">
        <v>49</v>
      </c>
      <c r="S26" s="6" t="s">
        <v>243</v>
      </c>
      <c r="T26" s="6" t="s">
        <v>244</v>
      </c>
    </row>
    <row r="27" ht="37.4" customHeight="1" spans="1:20">
      <c r="A27" s="157" t="s">
        <v>60</v>
      </c>
      <c r="B27" s="61" t="s">
        <v>245</v>
      </c>
      <c r="C27" s="60" t="s">
        <v>246</v>
      </c>
      <c r="D27" s="60" t="s">
        <v>247</v>
      </c>
      <c r="E27" s="80" t="s">
        <v>63</v>
      </c>
      <c r="F27" s="80" t="s">
        <v>76</v>
      </c>
      <c r="G27" s="80" t="s">
        <v>89</v>
      </c>
      <c r="H27" s="80" t="s">
        <v>248</v>
      </c>
      <c r="I27" s="81" t="s">
        <v>67</v>
      </c>
      <c r="J27" s="60" t="s">
        <v>68</v>
      </c>
      <c r="K27" s="13"/>
      <c r="L27" s="60" t="s">
        <v>30</v>
      </c>
      <c r="M27" s="29" t="s">
        <v>249</v>
      </c>
      <c r="N27" s="12" t="s">
        <v>47</v>
      </c>
      <c r="O27" s="12" t="s">
        <v>92</v>
      </c>
      <c r="P27" s="13" t="s">
        <v>34</v>
      </c>
      <c r="Q27" s="13" t="s">
        <v>56</v>
      </c>
      <c r="R27" s="113" t="s">
        <v>57</v>
      </c>
      <c r="S27" s="6" t="s">
        <v>130</v>
      </c>
      <c r="T27" s="13"/>
    </row>
    <row r="28" ht="36.85" customHeight="1" spans="1:20">
      <c r="A28" s="157" t="s">
        <v>60</v>
      </c>
      <c r="B28" s="61" t="s">
        <v>250</v>
      </c>
      <c r="C28" s="60" t="s">
        <v>251</v>
      </c>
      <c r="D28" s="60" t="s">
        <v>252</v>
      </c>
      <c r="E28" s="80" t="s">
        <v>63</v>
      </c>
      <c r="F28" s="80" t="s">
        <v>76</v>
      </c>
      <c r="G28" s="80" t="s">
        <v>253</v>
      </c>
      <c r="H28" s="80" t="s">
        <v>136</v>
      </c>
      <c r="I28" s="81" t="s">
        <v>67</v>
      </c>
      <c r="J28" s="60" t="s">
        <v>68</v>
      </c>
      <c r="K28" s="13"/>
      <c r="L28" s="60" t="s">
        <v>30</v>
      </c>
      <c r="M28" s="29" t="s">
        <v>254</v>
      </c>
      <c r="N28" s="12" t="s">
        <v>70</v>
      </c>
      <c r="O28" s="174"/>
      <c r="P28" s="13" t="s">
        <v>34</v>
      </c>
      <c r="Q28" s="13" t="s">
        <v>34</v>
      </c>
      <c r="R28" s="180"/>
      <c r="S28" s="6" t="s">
        <v>255</v>
      </c>
      <c r="T28" s="144"/>
    </row>
    <row r="29" ht="26.1" customHeight="1" spans="1:20">
      <c r="A29" s="161" t="s">
        <v>256</v>
      </c>
      <c r="B29" s="162" t="s">
        <v>257</v>
      </c>
      <c r="C29" s="12" t="s">
        <v>258</v>
      </c>
      <c r="D29" s="60"/>
      <c r="E29" s="80" t="s">
        <v>63</v>
      </c>
      <c r="F29" s="13"/>
      <c r="G29" s="13"/>
      <c r="H29" s="13"/>
      <c r="I29" s="89"/>
      <c r="J29" s="106"/>
      <c r="K29" s="169" t="s">
        <v>259</v>
      </c>
      <c r="L29" s="80"/>
      <c r="M29" s="29" t="s">
        <v>260</v>
      </c>
      <c r="N29" s="12" t="s">
        <v>174</v>
      </c>
      <c r="O29" s="12" t="s">
        <v>71</v>
      </c>
      <c r="P29" s="13" t="s">
        <v>34</v>
      </c>
      <c r="Q29" s="13" t="s">
        <v>34</v>
      </c>
      <c r="R29" s="113" t="s">
        <v>49</v>
      </c>
      <c r="S29" s="6" t="s">
        <v>218</v>
      </c>
      <c r="T29" s="178" t="s">
        <v>261</v>
      </c>
    </row>
    <row r="30" ht="24.1" customHeight="1" spans="1:20">
      <c r="A30" s="163" t="s">
        <v>262</v>
      </c>
      <c r="B30" s="164" t="s">
        <v>263</v>
      </c>
      <c r="C30" s="91" t="s">
        <v>264</v>
      </c>
      <c r="D30" s="60"/>
      <c r="E30" s="80" t="s">
        <v>63</v>
      </c>
      <c r="F30" s="13"/>
      <c r="G30" s="13"/>
      <c r="H30" s="13"/>
      <c r="I30" s="89"/>
      <c r="J30" s="106"/>
      <c r="K30" s="1" t="s">
        <v>265</v>
      </c>
      <c r="L30" s="80"/>
      <c r="M30" s="29" t="s">
        <v>266</v>
      </c>
      <c r="N30" s="12" t="s">
        <v>174</v>
      </c>
      <c r="O30" s="12" t="s">
        <v>71</v>
      </c>
      <c r="P30" s="13" t="s">
        <v>34</v>
      </c>
      <c r="Q30" s="13" t="s">
        <v>34</v>
      </c>
      <c r="R30" s="113" t="s">
        <v>35</v>
      </c>
      <c r="S30" s="6" t="s">
        <v>267</v>
      </c>
      <c r="T30" s="178" t="s">
        <v>261</v>
      </c>
    </row>
    <row r="31" ht="33" spans="1:20">
      <c r="A31" s="163" t="s">
        <v>262</v>
      </c>
      <c r="B31" s="164" t="s">
        <v>268</v>
      </c>
      <c r="C31" s="91" t="s">
        <v>269</v>
      </c>
      <c r="D31" s="60"/>
      <c r="E31" s="80" t="s">
        <v>63</v>
      </c>
      <c r="F31" s="13"/>
      <c r="G31" s="13"/>
      <c r="H31" s="13"/>
      <c r="I31" s="89"/>
      <c r="J31" s="106"/>
      <c r="K31" s="169" t="s">
        <v>270</v>
      </c>
      <c r="L31" s="80"/>
      <c r="M31" s="29" t="s">
        <v>271</v>
      </c>
      <c r="N31" s="12" t="s">
        <v>174</v>
      </c>
      <c r="O31" s="12" t="s">
        <v>71</v>
      </c>
      <c r="P31" s="13" t="s">
        <v>34</v>
      </c>
      <c r="Q31" s="13" t="s">
        <v>56</v>
      </c>
      <c r="R31" s="113" t="s">
        <v>57</v>
      </c>
      <c r="S31" s="6" t="s">
        <v>130</v>
      </c>
      <c r="T31" s="13"/>
    </row>
    <row r="32" ht="33" spans="1:20">
      <c r="A32" s="163" t="s">
        <v>262</v>
      </c>
      <c r="B32" s="164" t="s">
        <v>272</v>
      </c>
      <c r="C32" s="91" t="s">
        <v>273</v>
      </c>
      <c r="D32" s="60"/>
      <c r="E32" s="80" t="s">
        <v>63</v>
      </c>
      <c r="F32" s="13"/>
      <c r="G32" s="13"/>
      <c r="H32" s="13"/>
      <c r="I32" s="89"/>
      <c r="J32" s="106"/>
      <c r="K32" s="170" t="s">
        <v>274</v>
      </c>
      <c r="L32" s="80"/>
      <c r="M32" s="29" t="s">
        <v>275</v>
      </c>
      <c r="N32" s="12" t="s">
        <v>174</v>
      </c>
      <c r="O32" s="12" t="s">
        <v>71</v>
      </c>
      <c r="P32" s="13" t="s">
        <v>34</v>
      </c>
      <c r="Q32" s="13" t="s">
        <v>56</v>
      </c>
      <c r="R32" s="113" t="s">
        <v>57</v>
      </c>
      <c r="S32" s="6" t="s">
        <v>130</v>
      </c>
      <c r="T32" s="13"/>
    </row>
    <row r="33" ht="16.5" spans="1:20">
      <c r="A33" s="163"/>
      <c r="B33" s="181"/>
      <c r="C33" s="182"/>
      <c r="D33" s="60"/>
      <c r="E33" s="80"/>
      <c r="F33" s="13"/>
      <c r="G33" s="13"/>
      <c r="H33" s="13"/>
      <c r="I33" s="89"/>
      <c r="J33" s="106"/>
      <c r="K33" s="12"/>
      <c r="L33" s="60"/>
      <c r="M33" s="29"/>
      <c r="N33" s="12"/>
      <c r="O33" s="12"/>
      <c r="P33" s="13"/>
      <c r="Q33" s="13"/>
      <c r="R33" s="113"/>
      <c r="S33" s="13"/>
      <c r="T33" s="6"/>
    </row>
    <row r="34" ht="16.5" spans="1:20">
      <c r="A34" s="13"/>
      <c r="B34" s="181"/>
      <c r="C34" s="60"/>
      <c r="D34" s="60"/>
      <c r="E34" s="13"/>
      <c r="F34" s="13"/>
      <c r="G34" s="13"/>
      <c r="H34" s="13"/>
      <c r="I34" s="89"/>
      <c r="J34" s="106"/>
      <c r="K34" s="13"/>
      <c r="L34" s="60"/>
      <c r="M34" s="29"/>
      <c r="N34" s="13"/>
      <c r="O34" s="13"/>
      <c r="P34" s="13"/>
      <c r="Q34" s="13"/>
      <c r="R34" s="113"/>
      <c r="S34" s="13"/>
      <c r="T34" s="13"/>
    </row>
    <row r="35" ht="16.5" spans="1:20">
      <c r="A35" s="13"/>
      <c r="B35" s="13"/>
      <c r="C35" s="13"/>
      <c r="D35" s="13"/>
      <c r="E35" s="13"/>
      <c r="F35" s="13"/>
      <c r="G35" s="13"/>
      <c r="H35" s="13"/>
      <c r="I35" s="13"/>
      <c r="J35" s="13"/>
      <c r="K35" s="13"/>
      <c r="L35" s="80"/>
      <c r="M35" s="13"/>
      <c r="N35" s="13"/>
      <c r="O35" s="13"/>
      <c r="P35" s="13"/>
      <c r="Q35" s="13"/>
      <c r="R35" s="113"/>
      <c r="S35" s="13"/>
      <c r="T35" s="13"/>
    </row>
    <row r="36" s="154" customFormat="1" ht="16.5" spans="2:18">
      <c r="B36" s="183" t="s">
        <v>276</v>
      </c>
      <c r="L36" s="184"/>
      <c r="R36" s="185"/>
    </row>
    <row r="37" ht="16.5" spans="1:20">
      <c r="A37" s="13" t="s">
        <v>277</v>
      </c>
      <c r="B37" s="92"/>
      <c r="C37" s="53" t="s">
        <v>278</v>
      </c>
      <c r="D37" s="104"/>
      <c r="E37" s="53" t="s">
        <v>23</v>
      </c>
      <c r="F37" s="92"/>
      <c r="G37" s="104"/>
      <c r="H37" s="104"/>
      <c r="I37" s="92"/>
      <c r="J37" s="53"/>
      <c r="K37" s="53"/>
      <c r="L37" s="53"/>
      <c r="M37" s="53"/>
      <c r="N37" s="53" t="s">
        <v>279</v>
      </c>
      <c r="O37" s="53" t="s">
        <v>33</v>
      </c>
      <c r="P37" s="13" t="s">
        <v>34</v>
      </c>
      <c r="Q37" s="13" t="s">
        <v>34</v>
      </c>
      <c r="R37" s="113" t="s">
        <v>49</v>
      </c>
      <c r="S37" s="13"/>
      <c r="T37" s="92"/>
    </row>
    <row r="38" ht="16.5" spans="1:20">
      <c r="A38" s="13" t="s">
        <v>277</v>
      </c>
      <c r="B38" s="29"/>
      <c r="C38" s="99" t="s">
        <v>280</v>
      </c>
      <c r="D38" s="99"/>
      <c r="E38" s="60" t="s">
        <v>63</v>
      </c>
      <c r="F38" s="29"/>
      <c r="G38" s="106"/>
      <c r="H38" s="106"/>
      <c r="I38" s="29"/>
      <c r="J38" s="60"/>
      <c r="K38" s="60"/>
      <c r="L38" s="60"/>
      <c r="M38" s="60"/>
      <c r="N38" s="60" t="s">
        <v>129</v>
      </c>
      <c r="O38" s="53" t="s">
        <v>33</v>
      </c>
      <c r="P38" s="13" t="s">
        <v>34</v>
      </c>
      <c r="Q38" s="13" t="s">
        <v>34</v>
      </c>
      <c r="R38" s="113" t="s">
        <v>35</v>
      </c>
      <c r="S38" s="13"/>
      <c r="T38" s="92"/>
    </row>
    <row r="39" ht="16.5" spans="1:20">
      <c r="A39" s="13" t="s">
        <v>277</v>
      </c>
      <c r="B39" s="92"/>
      <c r="C39" s="53" t="s">
        <v>281</v>
      </c>
      <c r="D39" s="104"/>
      <c r="E39" s="53" t="s">
        <v>23</v>
      </c>
      <c r="F39" s="92"/>
      <c r="G39" s="104"/>
      <c r="H39" s="104"/>
      <c r="I39" s="92"/>
      <c r="J39" s="53"/>
      <c r="K39" s="53"/>
      <c r="L39" s="53"/>
      <c r="M39" s="53"/>
      <c r="N39" s="60" t="s">
        <v>129</v>
      </c>
      <c r="O39" s="53" t="s">
        <v>33</v>
      </c>
      <c r="P39" s="13" t="s">
        <v>34</v>
      </c>
      <c r="Q39" s="13" t="s">
        <v>34</v>
      </c>
      <c r="R39" s="145" t="s">
        <v>93</v>
      </c>
      <c r="S39" s="13"/>
      <c r="T39" s="92"/>
    </row>
    <row r="40" ht="16.5" spans="1:20">
      <c r="A40" s="13" t="s">
        <v>277</v>
      </c>
      <c r="B40" s="29" t="s">
        <v>282</v>
      </c>
      <c r="C40" s="60" t="s">
        <v>283</v>
      </c>
      <c r="D40" s="106"/>
      <c r="E40" s="60" t="s">
        <v>63</v>
      </c>
      <c r="F40" s="29"/>
      <c r="G40" s="106"/>
      <c r="H40" s="106"/>
      <c r="I40" s="29"/>
      <c r="J40" s="60"/>
      <c r="K40" s="60"/>
      <c r="L40" s="60"/>
      <c r="M40" s="60"/>
      <c r="N40" s="60" t="s">
        <v>284</v>
      </c>
      <c r="O40" s="60" t="s">
        <v>285</v>
      </c>
      <c r="P40" s="13" t="s">
        <v>34</v>
      </c>
      <c r="Q40" s="13" t="s">
        <v>34</v>
      </c>
      <c r="R40" s="113" t="s">
        <v>35</v>
      </c>
      <c r="S40" s="13"/>
      <c r="T40" s="92"/>
    </row>
    <row r="41" ht="16.5" spans="1:20">
      <c r="A41" s="13" t="s">
        <v>277</v>
      </c>
      <c r="B41" s="29" t="s">
        <v>286</v>
      </c>
      <c r="C41" s="99" t="s">
        <v>287</v>
      </c>
      <c r="D41" s="12"/>
      <c r="E41" s="60" t="s">
        <v>63</v>
      </c>
      <c r="F41" s="13"/>
      <c r="G41" s="13"/>
      <c r="H41" s="13"/>
      <c r="I41" s="13"/>
      <c r="J41" s="80"/>
      <c r="K41" s="99"/>
      <c r="L41" s="80"/>
      <c r="M41" s="80"/>
      <c r="N41" s="99" t="s">
        <v>174</v>
      </c>
      <c r="O41" s="99" t="s">
        <v>71</v>
      </c>
      <c r="P41" s="13" t="s">
        <v>34</v>
      </c>
      <c r="Q41" s="13" t="s">
        <v>34</v>
      </c>
      <c r="R41" s="145" t="s">
        <v>93</v>
      </c>
      <c r="S41" s="12" t="s">
        <v>288</v>
      </c>
      <c r="T41" s="12"/>
    </row>
    <row r="42" ht="16.5" spans="1:20">
      <c r="A42" s="13" t="s">
        <v>277</v>
      </c>
      <c r="B42" s="29" t="s">
        <v>289</v>
      </c>
      <c r="C42" s="94" t="s">
        <v>290</v>
      </c>
      <c r="D42" s="144"/>
      <c r="E42" s="60" t="s">
        <v>63</v>
      </c>
      <c r="F42" s="13"/>
      <c r="G42" s="13"/>
      <c r="H42" s="13"/>
      <c r="I42" s="13"/>
      <c r="J42" s="80"/>
      <c r="K42" s="99"/>
      <c r="L42" s="80"/>
      <c r="M42" s="80"/>
      <c r="N42" s="99" t="s">
        <v>174</v>
      </c>
      <c r="O42" s="99" t="s">
        <v>291</v>
      </c>
      <c r="P42" s="13" t="s">
        <v>34</v>
      </c>
      <c r="Q42" s="13" t="s">
        <v>34</v>
      </c>
      <c r="R42" s="145" t="s">
        <v>93</v>
      </c>
      <c r="S42" s="12" t="s">
        <v>292</v>
      </c>
      <c r="T42" s="12"/>
    </row>
    <row r="43" ht="16.5" spans="1:20">
      <c r="A43" s="13" t="s">
        <v>277</v>
      </c>
      <c r="B43" s="29" t="s">
        <v>293</v>
      </c>
      <c r="C43" s="94" t="s">
        <v>294</v>
      </c>
      <c r="D43" s="144"/>
      <c r="E43" s="60" t="s">
        <v>63</v>
      </c>
      <c r="F43" s="13"/>
      <c r="G43" s="13"/>
      <c r="H43" s="13"/>
      <c r="I43" s="13"/>
      <c r="J43" s="80"/>
      <c r="K43" s="99"/>
      <c r="L43" s="80"/>
      <c r="M43" s="80"/>
      <c r="N43" s="99" t="s">
        <v>83</v>
      </c>
      <c r="O43" s="99" t="s">
        <v>291</v>
      </c>
      <c r="P43" s="13" t="s">
        <v>34</v>
      </c>
      <c r="Q43" s="13" t="s">
        <v>34</v>
      </c>
      <c r="R43" s="145" t="s">
        <v>93</v>
      </c>
      <c r="S43" s="13"/>
      <c r="T43" s="12"/>
    </row>
    <row r="44" ht="16.5" spans="1:20">
      <c r="A44" s="13" t="s">
        <v>277</v>
      </c>
      <c r="B44" s="29" t="s">
        <v>295</v>
      </c>
      <c r="C44" s="94" t="s">
        <v>296</v>
      </c>
      <c r="D44" s="144"/>
      <c r="E44" s="60" t="s">
        <v>63</v>
      </c>
      <c r="F44" s="13"/>
      <c r="G44" s="13"/>
      <c r="H44" s="13"/>
      <c r="I44" s="13"/>
      <c r="J44" s="80"/>
      <c r="K44" s="99"/>
      <c r="L44" s="80"/>
      <c r="M44" s="80"/>
      <c r="N44" s="99" t="s">
        <v>83</v>
      </c>
      <c r="O44" s="99" t="s">
        <v>84</v>
      </c>
      <c r="P44" s="13" t="s">
        <v>34</v>
      </c>
      <c r="Q44" s="13" t="s">
        <v>34</v>
      </c>
      <c r="R44" s="145" t="s">
        <v>93</v>
      </c>
      <c r="S44" s="12" t="s">
        <v>297</v>
      </c>
      <c r="T44" s="12"/>
    </row>
    <row r="45" ht="16.5" spans="1:20">
      <c r="A45" s="13" t="s">
        <v>277</v>
      </c>
      <c r="B45" s="29" t="s">
        <v>298</v>
      </c>
      <c r="C45" s="94" t="s">
        <v>299</v>
      </c>
      <c r="D45" s="144"/>
      <c r="E45" s="60" t="s">
        <v>63</v>
      </c>
      <c r="F45" s="13"/>
      <c r="G45" s="13"/>
      <c r="H45" s="13"/>
      <c r="I45" s="13"/>
      <c r="J45" s="80"/>
      <c r="K45" s="99"/>
      <c r="L45" s="80"/>
      <c r="M45" s="80"/>
      <c r="N45" s="99" t="s">
        <v>83</v>
      </c>
      <c r="O45" s="99" t="s">
        <v>84</v>
      </c>
      <c r="P45" s="13" t="s">
        <v>34</v>
      </c>
      <c r="Q45" s="13" t="s">
        <v>34</v>
      </c>
      <c r="R45" s="145"/>
      <c r="S45" s="12" t="s">
        <v>297</v>
      </c>
      <c r="T45" s="12"/>
    </row>
    <row r="46" ht="16.5" spans="1:20">
      <c r="A46" s="13" t="s">
        <v>277</v>
      </c>
      <c r="B46" s="12" t="s">
        <v>300</v>
      </c>
      <c r="C46" s="147" t="s">
        <v>301</v>
      </c>
      <c r="D46" s="145"/>
      <c r="E46" s="94" t="s">
        <v>63</v>
      </c>
      <c r="F46" s="13"/>
      <c r="G46" s="13"/>
      <c r="H46" s="13"/>
      <c r="I46" s="13"/>
      <c r="J46" s="80"/>
      <c r="K46" s="99"/>
      <c r="L46" s="80"/>
      <c r="M46" s="80"/>
      <c r="N46" s="99" t="s">
        <v>83</v>
      </c>
      <c r="O46" s="99" t="s">
        <v>302</v>
      </c>
      <c r="P46" s="13" t="s">
        <v>34</v>
      </c>
      <c r="Q46" s="99"/>
      <c r="R46" s="6"/>
      <c r="S46" s="13"/>
      <c r="T46" s="12"/>
    </row>
    <row r="47" ht="16.5" spans="1:20">
      <c r="A47" s="13" t="s">
        <v>277</v>
      </c>
      <c r="B47" s="164"/>
      <c r="C47" s="53" t="s">
        <v>303</v>
      </c>
      <c r="D47" s="104"/>
      <c r="E47" s="94" t="s">
        <v>63</v>
      </c>
      <c r="F47" s="13"/>
      <c r="G47" s="13"/>
      <c r="H47" s="13"/>
      <c r="I47" s="13"/>
      <c r="J47" s="99"/>
      <c r="K47" s="99"/>
      <c r="L47" s="80"/>
      <c r="M47" s="80"/>
      <c r="N47" s="99" t="s">
        <v>47</v>
      </c>
      <c r="O47" s="99" t="s">
        <v>92</v>
      </c>
      <c r="P47" s="13" t="s">
        <v>34</v>
      </c>
      <c r="Q47" s="13" t="s">
        <v>34</v>
      </c>
      <c r="R47" s="6"/>
      <c r="S47" s="13"/>
      <c r="T47" s="12"/>
    </row>
    <row r="48" ht="49.5" spans="1:20">
      <c r="A48" s="13" t="s">
        <v>277</v>
      </c>
      <c r="B48" s="181"/>
      <c r="C48" s="91" t="s">
        <v>304</v>
      </c>
      <c r="D48" s="60"/>
      <c r="E48" s="80" t="s">
        <v>63</v>
      </c>
      <c r="F48" s="13"/>
      <c r="G48" s="13"/>
      <c r="H48" s="13"/>
      <c r="I48" s="89"/>
      <c r="J48" s="106"/>
      <c r="K48" s="12"/>
      <c r="L48" s="60" t="s">
        <v>30</v>
      </c>
      <c r="M48" s="29"/>
      <c r="N48" s="12" t="s">
        <v>109</v>
      </c>
      <c r="O48" s="12" t="s">
        <v>71</v>
      </c>
      <c r="P48" s="13" t="s">
        <v>34</v>
      </c>
      <c r="Q48" s="13" t="s">
        <v>34</v>
      </c>
      <c r="R48" s="113" t="s">
        <v>49</v>
      </c>
      <c r="S48" s="13"/>
      <c r="T48" s="6" t="s">
        <v>305</v>
      </c>
    </row>
    <row r="49" ht="16.5" spans="1:20">
      <c r="A49" s="13" t="s">
        <v>277</v>
      </c>
      <c r="B49" s="164"/>
      <c r="C49" s="99" t="s">
        <v>306</v>
      </c>
      <c r="D49" s="144"/>
      <c r="E49" s="80" t="s">
        <v>63</v>
      </c>
      <c r="F49" s="13"/>
      <c r="G49" s="13"/>
      <c r="H49" s="13"/>
      <c r="I49" s="13"/>
      <c r="J49" s="99"/>
      <c r="K49" s="99"/>
      <c r="L49" s="80"/>
      <c r="M49" s="80"/>
      <c r="N49" s="99" t="s">
        <v>55</v>
      </c>
      <c r="O49" s="99" t="s">
        <v>307</v>
      </c>
      <c r="P49" s="13" t="s">
        <v>34</v>
      </c>
      <c r="Q49" s="13" t="s">
        <v>34</v>
      </c>
      <c r="R49" s="113"/>
      <c r="S49" s="13"/>
      <c r="T49" s="12"/>
    </row>
    <row r="50" ht="16.5" spans="1:20">
      <c r="A50" s="13" t="s">
        <v>277</v>
      </c>
      <c r="B50" s="13"/>
      <c r="C50" s="99" t="s">
        <v>308</v>
      </c>
      <c r="D50" s="13"/>
      <c r="E50" s="80" t="s">
        <v>63</v>
      </c>
      <c r="F50" s="13"/>
      <c r="G50" s="13"/>
      <c r="H50" s="13"/>
      <c r="I50" s="13"/>
      <c r="J50" s="80"/>
      <c r="K50" s="80"/>
      <c r="L50" s="80"/>
      <c r="M50" s="80"/>
      <c r="N50" s="60" t="s">
        <v>129</v>
      </c>
      <c r="O50" s="53" t="s">
        <v>33</v>
      </c>
      <c r="P50" s="13" t="s">
        <v>34</v>
      </c>
      <c r="Q50" s="13" t="s">
        <v>34</v>
      </c>
      <c r="R50" s="145" t="s">
        <v>93</v>
      </c>
      <c r="S50" s="13"/>
      <c r="T50" s="13"/>
    </row>
    <row r="51" ht="16.5" spans="1:20">
      <c r="A51" s="13"/>
      <c r="B51" s="164"/>
      <c r="C51" s="99"/>
      <c r="D51" s="144"/>
      <c r="E51" s="104"/>
      <c r="F51" s="13"/>
      <c r="G51" s="13"/>
      <c r="H51" s="13"/>
      <c r="I51" s="13"/>
      <c r="J51" s="99"/>
      <c r="K51" s="99"/>
      <c r="L51" s="80"/>
      <c r="M51" s="80"/>
      <c r="N51" s="99"/>
      <c r="O51" s="99"/>
      <c r="P51" s="99"/>
      <c r="Q51" s="99"/>
      <c r="R51" s="6"/>
      <c r="S51" s="13"/>
      <c r="T51" s="12"/>
    </row>
    <row r="52" ht="16.5" spans="1:20">
      <c r="A52" s="13"/>
      <c r="B52" s="164"/>
      <c r="C52" s="99"/>
      <c r="D52" s="144"/>
      <c r="E52" s="104"/>
      <c r="F52" s="13"/>
      <c r="G52" s="13"/>
      <c r="H52" s="13"/>
      <c r="I52" s="13"/>
      <c r="J52" s="99"/>
      <c r="K52" s="99"/>
      <c r="L52" s="80"/>
      <c r="M52" s="80"/>
      <c r="N52" s="99"/>
      <c r="O52" s="99"/>
      <c r="P52" s="99"/>
      <c r="Q52" s="99"/>
      <c r="R52" s="6"/>
      <c r="S52" s="13"/>
      <c r="T52" s="12"/>
    </row>
    <row r="53" ht="16.5" spans="1:20">
      <c r="A53" s="13"/>
      <c r="B53" s="164"/>
      <c r="C53" s="99"/>
      <c r="D53" s="144"/>
      <c r="E53" s="104"/>
      <c r="F53" s="13"/>
      <c r="G53" s="13"/>
      <c r="H53" s="13"/>
      <c r="I53" s="13"/>
      <c r="J53" s="99"/>
      <c r="K53" s="99"/>
      <c r="L53" s="80"/>
      <c r="M53" s="80"/>
      <c r="N53" s="99"/>
      <c r="O53" s="99"/>
      <c r="P53" s="99"/>
      <c r="Q53" s="99"/>
      <c r="R53" s="6"/>
      <c r="S53" s="13"/>
      <c r="T53" s="12"/>
    </row>
    <row r="54" ht="16.5" spans="1:20">
      <c r="A54" s="13"/>
      <c r="B54" s="12"/>
      <c r="C54" s="99"/>
      <c r="D54" s="12"/>
      <c r="E54" s="12"/>
      <c r="F54" s="13"/>
      <c r="G54" s="13"/>
      <c r="H54" s="13"/>
      <c r="I54" s="13"/>
      <c r="J54" s="80"/>
      <c r="K54" s="99"/>
      <c r="L54" s="80"/>
      <c r="M54" s="80"/>
      <c r="N54" s="99"/>
      <c r="O54" s="99"/>
      <c r="P54" s="99"/>
      <c r="Q54" s="99"/>
      <c r="R54" s="6"/>
      <c r="S54" s="13"/>
      <c r="T54" s="12"/>
    </row>
    <row r="55" ht="16.5" spans="1:20">
      <c r="A55" s="13"/>
      <c r="B55" s="164"/>
      <c r="C55" s="99"/>
      <c r="D55" s="12"/>
      <c r="E55" s="12"/>
      <c r="F55" s="13"/>
      <c r="G55" s="13"/>
      <c r="H55" s="13"/>
      <c r="I55" s="13"/>
      <c r="J55" s="12"/>
      <c r="K55" s="12"/>
      <c r="L55" s="80"/>
      <c r="M55" s="13"/>
      <c r="N55" s="13"/>
      <c r="O55" s="12"/>
      <c r="P55" s="13"/>
      <c r="Q55" s="13"/>
      <c r="R55" s="6"/>
      <c r="S55" s="13"/>
      <c r="T55" s="12"/>
    </row>
    <row r="56" ht="16.5" spans="1:20">
      <c r="A56" s="13"/>
      <c r="B56" s="12"/>
      <c r="C56" s="12"/>
      <c r="D56" s="12"/>
      <c r="E56" s="12"/>
      <c r="F56" s="13"/>
      <c r="G56" s="13"/>
      <c r="H56" s="13"/>
      <c r="I56" s="13"/>
      <c r="J56" s="13"/>
      <c r="K56" s="12"/>
      <c r="L56" s="80"/>
      <c r="M56" s="13"/>
      <c r="N56" s="12"/>
      <c r="O56" s="12"/>
      <c r="P56" s="12"/>
      <c r="Q56" s="12"/>
      <c r="R56" s="6"/>
      <c r="S56" s="13"/>
      <c r="T56" s="12"/>
    </row>
    <row r="57" ht="16.5" spans="1:20">
      <c r="A57" s="13"/>
      <c r="B57" s="13"/>
      <c r="C57" s="13"/>
      <c r="D57" s="13"/>
      <c r="E57" s="13"/>
      <c r="F57" s="13"/>
      <c r="G57" s="13"/>
      <c r="H57" s="13"/>
      <c r="I57" s="13"/>
      <c r="J57" s="13"/>
      <c r="K57" s="13"/>
      <c r="L57" s="80"/>
      <c r="M57" s="13"/>
      <c r="N57" s="13"/>
      <c r="O57" s="13"/>
      <c r="P57" s="13"/>
      <c r="Q57" s="13"/>
      <c r="R57" s="113"/>
      <c r="S57" s="13"/>
      <c r="T57" s="13"/>
    </row>
    <row r="58" ht="16.5" spans="1:20">
      <c r="A58" s="13"/>
      <c r="B58" s="13"/>
      <c r="C58" s="13"/>
      <c r="D58" s="13"/>
      <c r="E58" s="13"/>
      <c r="F58" s="13"/>
      <c r="G58" s="13"/>
      <c r="H58" s="13"/>
      <c r="I58" s="13"/>
      <c r="J58" s="13"/>
      <c r="K58" s="13"/>
      <c r="L58" s="80"/>
      <c r="M58" s="13"/>
      <c r="N58" s="13"/>
      <c r="O58" s="13"/>
      <c r="P58" s="13"/>
      <c r="Q58" s="13"/>
      <c r="R58" s="113"/>
      <c r="S58" s="13"/>
      <c r="T58" s="13"/>
    </row>
    <row r="59" ht="16.5" spans="1:20">
      <c r="A59" s="13"/>
      <c r="B59" s="13"/>
      <c r="C59" s="13"/>
      <c r="D59" s="13"/>
      <c r="E59" s="13"/>
      <c r="F59" s="13"/>
      <c r="G59" s="13"/>
      <c r="H59" s="13"/>
      <c r="I59" s="13"/>
      <c r="J59" s="13"/>
      <c r="K59" s="13"/>
      <c r="L59" s="80"/>
      <c r="M59" s="13"/>
      <c r="N59" s="13"/>
      <c r="O59" s="13"/>
      <c r="P59" s="13"/>
      <c r="Q59" s="13"/>
      <c r="R59" s="113"/>
      <c r="S59" s="13"/>
      <c r="T59" s="13"/>
    </row>
    <row r="60" ht="16.5" spans="1:20">
      <c r="A60" s="13"/>
      <c r="B60" s="13"/>
      <c r="C60" s="13"/>
      <c r="D60" s="13"/>
      <c r="E60" s="13"/>
      <c r="F60" s="13"/>
      <c r="G60" s="13"/>
      <c r="H60" s="13"/>
      <c r="I60" s="13"/>
      <c r="J60" s="13"/>
      <c r="K60" s="13"/>
      <c r="L60" s="80"/>
      <c r="M60" s="13"/>
      <c r="N60" s="13"/>
      <c r="O60" s="13"/>
      <c r="P60" s="13"/>
      <c r="Q60" s="13"/>
      <c r="R60" s="113"/>
      <c r="S60" s="13"/>
      <c r="T60" s="13"/>
    </row>
    <row r="61" ht="16.5" spans="1:20">
      <c r="A61" s="13"/>
      <c r="B61" s="13"/>
      <c r="C61" s="13"/>
      <c r="D61" s="13"/>
      <c r="E61" s="13"/>
      <c r="F61" s="13"/>
      <c r="G61" s="13"/>
      <c r="H61" s="13"/>
      <c r="I61" s="13"/>
      <c r="J61" s="13"/>
      <c r="K61" s="13"/>
      <c r="L61" s="80"/>
      <c r="M61" s="13"/>
      <c r="N61" s="13"/>
      <c r="O61" s="13"/>
      <c r="P61" s="13"/>
      <c r="Q61" s="13"/>
      <c r="R61" s="113"/>
      <c r="S61" s="13"/>
      <c r="T61" s="13"/>
    </row>
    <row r="62" ht="16.5" spans="1:20">
      <c r="A62" s="13"/>
      <c r="B62" s="13"/>
      <c r="C62" s="13"/>
      <c r="D62" s="13"/>
      <c r="E62" s="13"/>
      <c r="F62" s="13"/>
      <c r="G62" s="13"/>
      <c r="H62" s="13"/>
      <c r="I62" s="13"/>
      <c r="J62" s="13"/>
      <c r="K62" s="13"/>
      <c r="L62" s="80"/>
      <c r="M62" s="13"/>
      <c r="N62" s="13"/>
      <c r="O62" s="13"/>
      <c r="P62" s="13"/>
      <c r="Q62" s="13"/>
      <c r="R62" s="113"/>
      <c r="S62" s="13"/>
      <c r="T62" s="13"/>
    </row>
    <row r="63" ht="16.5" spans="1:20">
      <c r="A63" s="13"/>
      <c r="B63" s="13"/>
      <c r="C63" s="13"/>
      <c r="D63" s="13"/>
      <c r="E63" s="13"/>
      <c r="F63" s="13"/>
      <c r="G63" s="13"/>
      <c r="H63" s="13"/>
      <c r="I63" s="13"/>
      <c r="J63" s="13"/>
      <c r="K63" s="13"/>
      <c r="L63" s="80"/>
      <c r="M63" s="13"/>
      <c r="N63" s="13"/>
      <c r="O63" s="13"/>
      <c r="P63" s="13"/>
      <c r="Q63" s="13"/>
      <c r="R63" s="113"/>
      <c r="S63" s="13"/>
      <c r="T63" s="13"/>
    </row>
    <row r="64" ht="16.5" spans="1:20">
      <c r="A64" s="13"/>
      <c r="B64" s="13"/>
      <c r="C64" s="13"/>
      <c r="D64" s="13"/>
      <c r="E64" s="13"/>
      <c r="F64" s="13"/>
      <c r="G64" s="13"/>
      <c r="H64" s="13"/>
      <c r="I64" s="13"/>
      <c r="J64" s="13"/>
      <c r="K64" s="13"/>
      <c r="L64" s="80"/>
      <c r="M64" s="13"/>
      <c r="N64" s="13"/>
      <c r="O64" s="13"/>
      <c r="P64" s="13"/>
      <c r="Q64" s="13"/>
      <c r="R64" s="113"/>
      <c r="S64" s="13"/>
      <c r="T64" s="13"/>
    </row>
    <row r="65" ht="16.5" spans="1:20">
      <c r="A65" s="13"/>
      <c r="B65" s="13"/>
      <c r="C65" s="13"/>
      <c r="D65" s="13"/>
      <c r="E65" s="13"/>
      <c r="F65" s="13"/>
      <c r="G65" s="13"/>
      <c r="H65" s="13"/>
      <c r="I65" s="13"/>
      <c r="J65" s="13"/>
      <c r="K65" s="13"/>
      <c r="L65" s="80"/>
      <c r="M65" s="13"/>
      <c r="N65" s="13"/>
      <c r="O65" s="13"/>
      <c r="P65" s="13"/>
      <c r="Q65" s="13"/>
      <c r="R65" s="113"/>
      <c r="S65" s="13"/>
      <c r="T65" s="13"/>
    </row>
    <row r="66" ht="16.5" spans="1:20">
      <c r="A66" s="13"/>
      <c r="B66" s="13"/>
      <c r="C66" s="13"/>
      <c r="D66" s="13"/>
      <c r="E66" s="13"/>
      <c r="F66" s="13"/>
      <c r="G66" s="13"/>
      <c r="H66" s="13"/>
      <c r="I66" s="13"/>
      <c r="J66" s="13"/>
      <c r="K66" s="13"/>
      <c r="L66" s="80"/>
      <c r="M66" s="13"/>
      <c r="N66" s="13"/>
      <c r="O66" s="13"/>
      <c r="P66" s="13"/>
      <c r="Q66" s="13"/>
      <c r="R66" s="113"/>
      <c r="S66" s="13"/>
      <c r="T66" s="13"/>
    </row>
    <row r="67" ht="16.5" spans="1:20">
      <c r="A67" s="13"/>
      <c r="B67" s="13"/>
      <c r="C67" s="13"/>
      <c r="D67" s="13"/>
      <c r="E67" s="13"/>
      <c r="F67" s="13"/>
      <c r="G67" s="13"/>
      <c r="H67" s="13"/>
      <c r="I67" s="13"/>
      <c r="J67" s="13"/>
      <c r="K67" s="13"/>
      <c r="L67" s="80"/>
      <c r="M67" s="13"/>
      <c r="N67" s="13"/>
      <c r="O67" s="13"/>
      <c r="P67" s="13"/>
      <c r="Q67" s="13"/>
      <c r="R67" s="113"/>
      <c r="S67" s="13"/>
      <c r="T67" s="13"/>
    </row>
    <row r="68" ht="16.5" spans="1:20">
      <c r="A68" s="13"/>
      <c r="B68" s="13"/>
      <c r="C68" s="13"/>
      <c r="D68" s="13"/>
      <c r="E68" s="13"/>
      <c r="F68" s="13"/>
      <c r="G68" s="13"/>
      <c r="H68" s="13"/>
      <c r="I68" s="13"/>
      <c r="J68" s="13"/>
      <c r="K68" s="13"/>
      <c r="L68" s="80"/>
      <c r="M68" s="13"/>
      <c r="N68" s="13"/>
      <c r="O68" s="13"/>
      <c r="P68" s="13"/>
      <c r="Q68" s="13"/>
      <c r="R68" s="113"/>
      <c r="S68" s="13"/>
      <c r="T68" s="13"/>
    </row>
    <row r="69" ht="16.5" spans="1:20">
      <c r="A69" s="13"/>
      <c r="B69" s="13"/>
      <c r="C69" s="13"/>
      <c r="D69" s="13"/>
      <c r="E69" s="13"/>
      <c r="F69" s="13"/>
      <c r="G69" s="13"/>
      <c r="H69" s="13"/>
      <c r="I69" s="13"/>
      <c r="J69" s="13"/>
      <c r="K69" s="13"/>
      <c r="L69" s="80"/>
      <c r="M69" s="13"/>
      <c r="N69" s="13"/>
      <c r="O69" s="13"/>
      <c r="P69" s="13"/>
      <c r="Q69" s="13"/>
      <c r="R69" s="113"/>
      <c r="S69" s="13"/>
      <c r="T69" s="13"/>
    </row>
    <row r="70" ht="16.5" spans="1:20">
      <c r="A70" s="13"/>
      <c r="B70" s="13"/>
      <c r="C70" s="13"/>
      <c r="D70" s="13"/>
      <c r="E70" s="13"/>
      <c r="F70" s="13"/>
      <c r="G70" s="13"/>
      <c r="H70" s="13"/>
      <c r="I70" s="13"/>
      <c r="J70" s="13"/>
      <c r="K70" s="13"/>
      <c r="L70" s="80"/>
      <c r="M70" s="13"/>
      <c r="N70" s="13"/>
      <c r="O70" s="13"/>
      <c r="P70" s="13"/>
      <c r="Q70" s="13"/>
      <c r="R70" s="113"/>
      <c r="S70" s="13"/>
      <c r="T70" s="13"/>
    </row>
    <row r="71" ht="16.5" spans="1:20">
      <c r="A71" s="13"/>
      <c r="B71" s="13"/>
      <c r="C71" s="13"/>
      <c r="D71" s="13"/>
      <c r="E71" s="13"/>
      <c r="F71" s="13"/>
      <c r="G71" s="13"/>
      <c r="H71" s="13"/>
      <c r="I71" s="13"/>
      <c r="J71" s="13"/>
      <c r="K71" s="13"/>
      <c r="L71" s="80"/>
      <c r="M71" s="13"/>
      <c r="N71" s="13"/>
      <c r="O71" s="13"/>
      <c r="P71" s="13"/>
      <c r="Q71" s="13"/>
      <c r="R71" s="113"/>
      <c r="S71" s="13"/>
      <c r="T71" s="13"/>
    </row>
    <row r="72" ht="16.5" spans="1:20">
      <c r="A72" s="13"/>
      <c r="B72" s="13"/>
      <c r="C72" s="13"/>
      <c r="D72" s="13"/>
      <c r="E72" s="13"/>
      <c r="F72" s="13"/>
      <c r="G72" s="13"/>
      <c r="H72" s="13"/>
      <c r="I72" s="13"/>
      <c r="J72" s="13"/>
      <c r="K72" s="13"/>
      <c r="L72" s="80"/>
      <c r="M72" s="13"/>
      <c r="N72" s="13"/>
      <c r="O72" s="13"/>
      <c r="P72" s="13"/>
      <c r="Q72" s="13"/>
      <c r="R72" s="113"/>
      <c r="S72" s="13"/>
      <c r="T72" s="13"/>
    </row>
    <row r="73" ht="16.5" spans="1:20">
      <c r="A73" s="13"/>
      <c r="B73" s="13"/>
      <c r="C73" s="13"/>
      <c r="D73" s="13"/>
      <c r="E73" s="13"/>
      <c r="F73" s="13"/>
      <c r="G73" s="13"/>
      <c r="H73" s="13"/>
      <c r="I73" s="13"/>
      <c r="J73" s="13"/>
      <c r="K73" s="13"/>
      <c r="L73" s="80"/>
      <c r="M73" s="13"/>
      <c r="N73" s="13"/>
      <c r="O73" s="13"/>
      <c r="P73" s="13"/>
      <c r="Q73" s="13"/>
      <c r="R73" s="113"/>
      <c r="S73" s="13"/>
      <c r="T73" s="13"/>
    </row>
    <row r="74" ht="16.5" spans="1:20">
      <c r="A74" s="13"/>
      <c r="B74" s="13"/>
      <c r="C74" s="13"/>
      <c r="D74" s="13"/>
      <c r="E74" s="13"/>
      <c r="F74" s="13"/>
      <c r="G74" s="13"/>
      <c r="H74" s="13"/>
      <c r="I74" s="13"/>
      <c r="J74" s="13"/>
      <c r="K74" s="13"/>
      <c r="L74" s="80"/>
      <c r="M74" s="13"/>
      <c r="N74" s="13"/>
      <c r="O74" s="13"/>
      <c r="P74" s="13"/>
      <c r="Q74" s="13"/>
      <c r="R74" s="113"/>
      <c r="S74" s="13"/>
      <c r="T74" s="13"/>
    </row>
  </sheetData>
  <sheetProtection password="E9D7" sheet="1" formatCells="0" insertHyperlinks="0" autoFilter="0" objects="1"/>
  <autoFilter xmlns:etc="http://www.wps.cn/officeDocument/2017/etCustomData" ref="A1:T74" etc:filterBottomFollowUsedRange="1">
    <extLst/>
  </autoFilter>
  <dataValidations count="6">
    <dataValidation type="list" allowBlank="1" showErrorMessage="1" errorTitle="错误提示" error="请输入下拉列表中的值" id="{5543fad6-de82-49ba-b44f-49595aefac6e}" sqref="R48:R49" errorStyle="information">
      <formula1>"预计当前迭代完成交付,预计2个迭代完成交付,预计3个迭代完成交付,预计3个以上迭代完成交付,本迭代无法启动后续重新排期"</formula1>
    </dataValidation>
    <dataValidation type="list" allowBlank="1" showErrorMessage="1" errorTitle="错误提示" error="请输入下拉列表中的值" id="{5543fad6-de82-49ba-b44f-49595aefac6e}" sqref="R50 R2:R35 R37:R45" errorStyle="information">
      <formula1>"预计当前迭代完成交付,预计2个迭代完成交付,预计3个迭代完成交付,预计3个以上迭代完成交付,本迭代无法启动后续重新排期,预计提前完成（早于0307版本）"</formula1>
    </dataValidation>
    <dataValidation type="list" allowBlank="1" showErrorMessage="1" errorTitle="错误提示" error="请输入下拉列表中的值" id="{5543fad6-de82-49ba-b44f-49595aefac6e}" sqref="A2:A35" errorStyle="information">
      <formula1>"固定收益部,香港金控FICC,资金运营部,中央交易室,风险管理部,运营中心"</formula1>
    </dataValidation>
    <dataValidation type="list" allowBlank="1" showErrorMessage="1" errorTitle="错误提示" error="请输入下拉列表中的值" id="{5543fad6-de82-49ba-b44f-49595aefac6e}" sqref="A37:A70" errorStyle="information">
      <formula1>"信息技术部"</formula1>
    </dataValidation>
    <dataValidation type="list" allowBlank="1" showErrorMessage="1" errorTitle="错误提示" error="请输入下拉列表中的值" id="{5543fad6-de82-49ba-b44f-49595aefac6e}" sqref="P50:Q50 P10:P35 P37:P43 P46:P49 Q37:Q39 Q41:Q43 Q47:Q49 P2:Q9 P44:Q45" errorStyle="information">
      <formula1>"是,否,待定"</formula1>
    </dataValidation>
    <dataValidation type="list" allowBlank="1" showErrorMessage="1" errorTitle="错误提示" error="请输入下拉列表中的值" id="{5543fad6-de82-49ba-b44f-49595aefac6e}" sqref="Q40 Q10:Q35" errorStyle="information">
      <formula1>"是,否,沟通中"</formula1>
    </dataValidation>
  </dataValidations>
  <hyperlinks>
    <hyperlink ref="B2" r:id="rId1" display="FICCHEADS-1180" tooltip="http://jira.htzq.htsc.com.cn/browse/FICCHEADS-1180"/>
    <hyperlink ref="B3" r:id="rId2" display="FICCHEADS-1167" tooltip="http://jira.htzq.htsc.com.cn/browse/FICCHEADS-1167"/>
    <hyperlink ref="B4" r:id="rId3" display="FICCHEADS-1089" tooltip="http://jira.htzq.htsc.com.cn/browse/FICCHEADS-1089"/>
    <hyperlink ref="B5" r:id="rId4" display="FICCHEADS-1097" tooltip="http://jira.htzq.htsc.com.cn/browse/FICCHEADS-1097"/>
    <hyperlink ref="B6" r:id="rId5" display="FICCHEADS-1082" tooltip="http://jira.htzq.htsc.com.cn/browse/FICCHEADS-1082"/>
    <hyperlink ref="B7" r:id="rId6" display="FICCHEADS-1136" tooltip="http://jira.htzq.htsc.com.cn/browse/FICCHEADS-1136"/>
    <hyperlink ref="B8" r:id="rId7" display="FICCHEADS-1000" tooltip="http://jira.htzq.htsc.com.cn/browse/FICCHEADS-1000"/>
    <hyperlink ref="B9" r:id="rId8" display="FICCHEADS-1110" tooltip="http://jira.htzq.htsc.com.cn/browse/FICCHEADS-1110"/>
    <hyperlink ref="B10" r:id="rId9" display="FICCHEADS-1168" tooltip="http://jira.htzq.htsc.com.cn/browse/FICCHEADS-1168"/>
    <hyperlink ref="B11" r:id="rId10" display="FICCHEADS-1175" tooltip="http://jira.htzq.htsc.com.cn/browse/FICCHEADS-1175"/>
    <hyperlink ref="B12" r:id="rId11" display="FICCHEADS-1171" tooltip="http://jira.htzq.htsc.com.cn/browse/FICCHEADS-1171"/>
    <hyperlink ref="B13" r:id="rId12" display="FICCHEADS-1147" tooltip="http://jira.htzq.htsc.com.cn/browse/FICCHEADS-1147"/>
    <hyperlink ref="B14" r:id="rId13" display="FICCHEADS-1099" tooltip="http://jira.htzq.htsc.com.cn/browse/FICCHEADS-1099"/>
    <hyperlink ref="B15" r:id="rId14" display="FICCHEADS-1140" tooltip="http://jira.htzq.htsc.com.cn/browse/FICCHEADS-1140"/>
    <hyperlink ref="B16" r:id="rId15" display="FICCHEADS-1159" tooltip="http://jira.htzq.htsc.com.cn/browse/FICCHEADS-1159"/>
    <hyperlink ref="B17" r:id="rId16" display="FICCHEADS-955" tooltip="http://jira.htzq.htsc.com.cn/browse/FICCHEADS-955"/>
    <hyperlink ref="B18" r:id="rId17" display="FICCHEADS-631" tooltip="http://jira.htzq.htsc.com.cn/browse/FICCHEADS-631"/>
    <hyperlink ref="B19" r:id="rId18" display="FICCHEADS-458" tooltip="http://jira.htzq.htsc.com.cn/browse/FICCHEADS-458"/>
    <hyperlink ref="B20" r:id="rId19" display="FICCHEADS-1148" tooltip="http://jira.htzq.htsc.com.cn/browse/FICCHEADS-1148"/>
    <hyperlink ref="B21" r:id="rId20" display="FICCHEADS-1124" tooltip="http://jira.htzq.htsc.com.cn/browse/FICCHEADS-1124"/>
    <hyperlink ref="B23" r:id="rId21" display="FICCHEADS-1127" tooltip="http://jira.htzq.htsc.com.cn/browse/FICCHEADS-1127"/>
    <hyperlink ref="B24" r:id="rId22" display="FICCHEADS-931" tooltip="http://jira.htzq.htsc.com.cn/browse/FICCHEADS-931"/>
    <hyperlink ref="B25" r:id="rId23" display="FICCHEADS-102" tooltip="http://jira.htzq.htsc.com.cn/browse/FICCHEADS-102"/>
    <hyperlink ref="B26" r:id="rId24" display="FICCHEADS-812" tooltip="http://jira.htzq.htsc.com.cn/browse/FICCHEADS-812"/>
    <hyperlink ref="B27" r:id="rId25" display="FICCHEADS-147" tooltip="http://jira.htzq.htsc.com.cn/browse/FICCHEADS-147"/>
    <hyperlink ref="B28" r:id="rId26" display="FICCHEADS-326" tooltip="http://jira.htzq.htsc.com.cn/browse/FICCHEADS-326"/>
    <hyperlink ref="B29" r:id="rId27" display="IT需求申请央20251028572539"/>
    <hyperlink ref="B30" r:id="rId28" display="FICCREQ-433"/>
    <hyperlink ref="B31" r:id="rId29" display="FICCREQ-434"/>
    <hyperlink ref="B32" r:id="rId30" display="FICCREQ-402"/>
    <hyperlink ref="B22" r:id="rId31" display="FICCHEADS-87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6"/>
  <sheetViews>
    <sheetView workbookViewId="0">
      <pane xSplit="4" ySplit="2" topLeftCell="W51" activePane="bottomRight" state="frozen"/>
      <selection/>
      <selection pane="topRight"/>
      <selection pane="bottomLeft"/>
      <selection pane="bottomRight" activeCell="W51" sqref="W51"/>
    </sheetView>
  </sheetViews>
  <sheetFormatPr defaultColWidth="9" defaultRowHeight="16.5"/>
  <cols>
    <col min="1" max="1" width="9" style="45"/>
    <col min="2" max="2" width="15.625" style="45" customWidth="1"/>
    <col min="3" max="3" width="17.75" style="46" customWidth="1"/>
    <col min="4" max="4" width="16.35" style="46" customWidth="1"/>
    <col min="5" max="5" width="14.9" style="46" customWidth="1"/>
    <col min="6" max="6" width="12.875" style="45" customWidth="1"/>
    <col min="7" max="7" width="9" style="45"/>
    <col min="8" max="9" width="11.625" style="45" customWidth="1"/>
    <col min="10" max="10" width="18.1666666666667" style="1" customWidth="1"/>
    <col min="11" max="11" width="16.7083333333333" style="1" customWidth="1"/>
    <col min="12" max="12" width="18.75" style="1" customWidth="1"/>
    <col min="13" max="13" width="12.2916666666667" style="1" customWidth="1"/>
    <col min="14" max="14" width="43.5833333333333" style="1" customWidth="1"/>
    <col min="15" max="15" width="12.15" style="47" customWidth="1"/>
    <col min="16" max="16" width="22.4333333333333" style="47" customWidth="1"/>
    <col min="17" max="17" width="12.4916666666667" style="47" customWidth="1"/>
    <col min="18" max="18" width="9" style="1"/>
    <col min="19" max="19" width="9" style="48"/>
    <col min="20" max="20" width="9" style="1"/>
    <col min="21" max="21" width="9" style="45"/>
    <col min="22" max="23" width="15" style="1" customWidth="1"/>
    <col min="24" max="24" width="19.2166666666667" style="1" customWidth="1"/>
    <col min="25" max="16384" width="9" style="1"/>
  </cols>
  <sheetData>
    <row r="1" spans="1:24">
      <c r="A1" s="49" t="s">
        <v>309</v>
      </c>
      <c r="B1" s="50"/>
      <c r="C1" s="50"/>
      <c r="D1" s="50"/>
      <c r="E1" s="50"/>
      <c r="F1" s="49"/>
      <c r="G1" s="49"/>
      <c r="H1" s="50"/>
      <c r="I1" s="49"/>
      <c r="J1" s="107" t="s">
        <v>310</v>
      </c>
      <c r="K1" s="108"/>
      <c r="L1" s="109"/>
      <c r="M1" s="108"/>
      <c r="N1" s="109"/>
      <c r="O1" s="109"/>
      <c r="P1" s="109"/>
      <c r="Q1" s="109"/>
      <c r="R1" s="108"/>
      <c r="S1" s="108"/>
      <c r="T1" s="108"/>
      <c r="U1" s="136"/>
      <c r="V1" s="137" t="s">
        <v>311</v>
      </c>
      <c r="W1" s="138"/>
      <c r="X1" s="139"/>
    </row>
    <row r="2" ht="30" spans="1:24">
      <c r="A2" s="51" t="s">
        <v>312</v>
      </c>
      <c r="B2" s="52" t="s">
        <v>0</v>
      </c>
      <c r="C2" s="52" t="s">
        <v>1</v>
      </c>
      <c r="D2" s="52" t="s">
        <v>313</v>
      </c>
      <c r="E2" s="52" t="s">
        <v>8</v>
      </c>
      <c r="F2" s="52" t="s">
        <v>314</v>
      </c>
      <c r="G2" s="52" t="s">
        <v>10</v>
      </c>
      <c r="H2" s="52" t="s">
        <v>315</v>
      </c>
      <c r="I2" s="52" t="s">
        <v>316</v>
      </c>
      <c r="J2" s="110" t="s">
        <v>317</v>
      </c>
      <c r="K2" s="111" t="s">
        <v>318</v>
      </c>
      <c r="L2" s="112" t="s">
        <v>319</v>
      </c>
      <c r="M2" s="120" t="s">
        <v>12</v>
      </c>
      <c r="N2" s="112" t="s">
        <v>320</v>
      </c>
      <c r="O2" s="112" t="s">
        <v>321</v>
      </c>
      <c r="P2" s="121" t="s">
        <v>322</v>
      </c>
      <c r="Q2" s="112" t="s">
        <v>323</v>
      </c>
      <c r="R2" s="111" t="s">
        <v>324</v>
      </c>
      <c r="S2" s="127" t="s">
        <v>325</v>
      </c>
      <c r="T2" s="111" t="s">
        <v>326</v>
      </c>
      <c r="U2" s="140" t="s">
        <v>327</v>
      </c>
      <c r="V2" s="141" t="s">
        <v>328</v>
      </c>
      <c r="W2" s="141" t="s">
        <v>329</v>
      </c>
      <c r="X2" s="141" t="s">
        <v>330</v>
      </c>
    </row>
    <row r="3" ht="99" spans="1:24">
      <c r="A3" s="53" t="s">
        <v>23</v>
      </c>
      <c r="B3" s="53" t="s">
        <v>27</v>
      </c>
      <c r="C3" s="53" t="s">
        <v>21</v>
      </c>
      <c r="D3" s="53" t="s">
        <v>22</v>
      </c>
      <c r="E3" s="53" t="s">
        <v>27</v>
      </c>
      <c r="F3" s="53" t="s">
        <v>28</v>
      </c>
      <c r="G3" s="53" t="s">
        <v>30</v>
      </c>
      <c r="H3" s="53" t="s">
        <v>32</v>
      </c>
      <c r="I3" s="53" t="s">
        <v>33</v>
      </c>
      <c r="J3" s="113" t="s">
        <v>331</v>
      </c>
      <c r="K3" s="6" t="s">
        <v>332</v>
      </c>
      <c r="L3" s="29" t="s">
        <v>333</v>
      </c>
      <c r="M3" s="60" t="s">
        <v>31</v>
      </c>
      <c r="N3" s="122" t="s">
        <v>334</v>
      </c>
      <c r="O3" s="6" t="s">
        <v>335</v>
      </c>
      <c r="P3" s="6" t="s">
        <v>336</v>
      </c>
      <c r="Q3" s="128" t="s">
        <v>337</v>
      </c>
      <c r="R3" s="12"/>
      <c r="S3" s="30" t="s">
        <v>34</v>
      </c>
      <c r="T3" s="12" t="s">
        <v>34</v>
      </c>
      <c r="U3" s="99" t="s">
        <v>338</v>
      </c>
      <c r="V3" s="12" t="s">
        <v>33</v>
      </c>
      <c r="W3" s="113"/>
      <c r="X3" s="6"/>
    </row>
    <row r="4" ht="99" spans="1:24">
      <c r="A4" s="54"/>
      <c r="B4" s="54"/>
      <c r="C4" s="54"/>
      <c r="D4" s="54"/>
      <c r="E4" s="54"/>
      <c r="F4" s="54"/>
      <c r="G4" s="54"/>
      <c r="H4" s="54"/>
      <c r="I4" s="54"/>
      <c r="J4" s="113" t="s">
        <v>339</v>
      </c>
      <c r="K4" s="39" t="s">
        <v>279</v>
      </c>
      <c r="L4" s="29" t="s">
        <v>333</v>
      </c>
      <c r="M4" s="60" t="s">
        <v>31</v>
      </c>
      <c r="N4" s="122" t="s">
        <v>340</v>
      </c>
      <c r="O4" s="6" t="s">
        <v>341</v>
      </c>
      <c r="P4" s="6" t="s">
        <v>342</v>
      </c>
      <c r="Q4" s="128" t="s">
        <v>343</v>
      </c>
      <c r="R4" s="12"/>
      <c r="S4" s="30" t="s">
        <v>34</v>
      </c>
      <c r="T4" s="12" t="s">
        <v>34</v>
      </c>
      <c r="U4" s="142" t="s">
        <v>344</v>
      </c>
      <c r="V4" s="12" t="s">
        <v>33</v>
      </c>
      <c r="W4" s="6" t="s">
        <v>345</v>
      </c>
      <c r="X4" s="6"/>
    </row>
    <row r="5" ht="99" spans="1:24">
      <c r="A5" s="54"/>
      <c r="B5" s="54"/>
      <c r="C5" s="54"/>
      <c r="D5" s="54"/>
      <c r="E5" s="54"/>
      <c r="F5" s="54"/>
      <c r="G5" s="54"/>
      <c r="H5" s="54"/>
      <c r="I5" s="54"/>
      <c r="J5" s="113" t="s">
        <v>339</v>
      </c>
      <c r="K5" s="12" t="s">
        <v>279</v>
      </c>
      <c r="L5" s="29" t="s">
        <v>333</v>
      </c>
      <c r="M5" s="60"/>
      <c r="N5" s="122" t="s">
        <v>346</v>
      </c>
      <c r="O5" s="6" t="s">
        <v>347</v>
      </c>
      <c r="P5" s="6" t="s">
        <v>348</v>
      </c>
      <c r="Q5" s="128" t="s">
        <v>349</v>
      </c>
      <c r="R5" s="12"/>
      <c r="S5" s="30" t="s">
        <v>56</v>
      </c>
      <c r="T5" s="12" t="s">
        <v>56</v>
      </c>
      <c r="U5" s="142" t="s">
        <v>350</v>
      </c>
      <c r="V5" s="12"/>
      <c r="W5" s="6" t="s">
        <v>345</v>
      </c>
      <c r="X5" s="6"/>
    </row>
    <row r="6" ht="99" spans="1:24">
      <c r="A6" s="54"/>
      <c r="B6" s="54"/>
      <c r="C6" s="54"/>
      <c r="D6" s="54"/>
      <c r="E6" s="54"/>
      <c r="F6" s="54"/>
      <c r="G6" s="54"/>
      <c r="H6" s="54"/>
      <c r="I6" s="54"/>
      <c r="J6" s="113" t="s">
        <v>331</v>
      </c>
      <c r="K6" s="12" t="s">
        <v>204</v>
      </c>
      <c r="L6" s="29" t="s">
        <v>333</v>
      </c>
      <c r="M6" s="60"/>
      <c r="N6" s="122" t="s">
        <v>351</v>
      </c>
      <c r="O6" s="6" t="s">
        <v>352</v>
      </c>
      <c r="P6" s="6" t="s">
        <v>353</v>
      </c>
      <c r="Q6" s="128" t="s">
        <v>354</v>
      </c>
      <c r="R6" s="12"/>
      <c r="S6" s="30" t="s">
        <v>56</v>
      </c>
      <c r="T6" s="12" t="s">
        <v>56</v>
      </c>
      <c r="U6" s="142" t="s">
        <v>355</v>
      </c>
      <c r="V6" s="12" t="s">
        <v>356</v>
      </c>
      <c r="W6" s="113"/>
      <c r="X6" s="6"/>
    </row>
    <row r="7" ht="99" spans="1:24">
      <c r="A7" s="54"/>
      <c r="B7" s="54"/>
      <c r="C7" s="54"/>
      <c r="D7" s="54"/>
      <c r="E7" s="54"/>
      <c r="F7" s="54"/>
      <c r="G7" s="54"/>
      <c r="H7" s="54"/>
      <c r="I7" s="54"/>
      <c r="J7" s="113" t="s">
        <v>331</v>
      </c>
      <c r="K7" s="12" t="s">
        <v>284</v>
      </c>
      <c r="L7" s="29" t="s">
        <v>357</v>
      </c>
      <c r="M7" s="60" t="s">
        <v>31</v>
      </c>
      <c r="N7" s="122" t="s">
        <v>358</v>
      </c>
      <c r="O7" s="6" t="s">
        <v>359</v>
      </c>
      <c r="P7" s="6" t="s">
        <v>360</v>
      </c>
      <c r="Q7" s="128" t="s">
        <v>361</v>
      </c>
      <c r="R7" s="12"/>
      <c r="S7" s="30" t="s">
        <v>34</v>
      </c>
      <c r="T7" s="12" t="s">
        <v>34</v>
      </c>
      <c r="U7" s="99" t="s">
        <v>362</v>
      </c>
      <c r="V7" s="12" t="s">
        <v>363</v>
      </c>
      <c r="W7" s="6" t="s">
        <v>364</v>
      </c>
      <c r="X7" s="6"/>
    </row>
    <row r="8" ht="99" spans="1:24">
      <c r="A8" s="54"/>
      <c r="B8" s="54"/>
      <c r="C8" s="54"/>
      <c r="D8" s="54"/>
      <c r="E8" s="54"/>
      <c r="F8" s="54"/>
      <c r="G8" s="54"/>
      <c r="H8" s="54"/>
      <c r="I8" s="54"/>
      <c r="J8" s="113" t="s">
        <v>339</v>
      </c>
      <c r="K8" s="12" t="s">
        <v>279</v>
      </c>
      <c r="L8" s="29" t="s">
        <v>333</v>
      </c>
      <c r="M8" s="60" t="s">
        <v>31</v>
      </c>
      <c r="N8" s="123" t="s">
        <v>365</v>
      </c>
      <c r="O8" s="6" t="s">
        <v>366</v>
      </c>
      <c r="P8" s="6" t="s">
        <v>367</v>
      </c>
      <c r="Q8" s="128" t="s">
        <v>368</v>
      </c>
      <c r="R8" s="12"/>
      <c r="S8" s="30" t="s">
        <v>34</v>
      </c>
      <c r="T8" s="12" t="s">
        <v>34</v>
      </c>
      <c r="U8" s="142" t="s">
        <v>344</v>
      </c>
      <c r="V8" s="12" t="s">
        <v>369</v>
      </c>
      <c r="W8" s="113"/>
      <c r="X8" s="6"/>
    </row>
    <row r="9" ht="49.5" spans="1:24">
      <c r="A9" s="55"/>
      <c r="B9" s="55"/>
      <c r="C9" s="55"/>
      <c r="D9" s="55"/>
      <c r="E9" s="55"/>
      <c r="F9" s="55"/>
      <c r="G9" s="55"/>
      <c r="H9" s="55"/>
      <c r="I9" s="55"/>
      <c r="J9" s="113" t="s">
        <v>370</v>
      </c>
      <c r="K9" s="12" t="s">
        <v>129</v>
      </c>
      <c r="L9" s="29" t="s">
        <v>333</v>
      </c>
      <c r="M9" s="60"/>
      <c r="N9" s="122" t="s">
        <v>371</v>
      </c>
      <c r="O9" s="6" t="s">
        <v>372</v>
      </c>
      <c r="P9" s="6" t="s">
        <v>373</v>
      </c>
      <c r="Q9" s="128"/>
      <c r="R9" s="12"/>
      <c r="S9" s="30" t="s">
        <v>56</v>
      </c>
      <c r="T9" s="12" t="s">
        <v>56</v>
      </c>
      <c r="U9" s="142" t="s">
        <v>355</v>
      </c>
      <c r="V9" s="12"/>
      <c r="W9" s="113"/>
      <c r="X9" s="6"/>
    </row>
    <row r="10" ht="99" spans="1:24">
      <c r="A10" s="53" t="s">
        <v>23</v>
      </c>
      <c r="B10" s="53" t="s">
        <v>43</v>
      </c>
      <c r="C10" s="56" t="s">
        <v>38</v>
      </c>
      <c r="D10" s="53" t="s">
        <v>39</v>
      </c>
      <c r="E10" s="53" t="s">
        <v>43</v>
      </c>
      <c r="F10" s="53" t="s">
        <v>44</v>
      </c>
      <c r="G10" s="93" t="s">
        <v>46</v>
      </c>
      <c r="H10" s="94" t="s">
        <v>47</v>
      </c>
      <c r="I10" s="94" t="s">
        <v>48</v>
      </c>
      <c r="J10" s="113" t="s">
        <v>374</v>
      </c>
      <c r="K10" s="12" t="s">
        <v>47</v>
      </c>
      <c r="L10" s="29"/>
      <c r="M10" s="60" t="s">
        <v>31</v>
      </c>
      <c r="N10" s="122" t="s">
        <v>375</v>
      </c>
      <c r="O10" s="6" t="s">
        <v>376</v>
      </c>
      <c r="P10" s="6" t="s">
        <v>377</v>
      </c>
      <c r="Q10" s="128" t="s">
        <v>378</v>
      </c>
      <c r="R10" s="12"/>
      <c r="S10" s="30" t="s">
        <v>34</v>
      </c>
      <c r="T10" s="12" t="s">
        <v>56</v>
      </c>
      <c r="U10" s="142" t="s">
        <v>379</v>
      </c>
      <c r="V10" s="6" t="s">
        <v>380</v>
      </c>
      <c r="W10" s="113"/>
      <c r="X10" s="6"/>
    </row>
    <row r="11" ht="99" spans="1:24">
      <c r="A11" s="55"/>
      <c r="B11" s="55"/>
      <c r="C11" s="56"/>
      <c r="D11" s="55"/>
      <c r="E11" s="55"/>
      <c r="F11" s="55"/>
      <c r="G11" s="95"/>
      <c r="H11" s="96"/>
      <c r="I11" s="96"/>
      <c r="J11" s="113" t="s">
        <v>381</v>
      </c>
      <c r="K11" s="12" t="s">
        <v>83</v>
      </c>
      <c r="L11" s="29"/>
      <c r="M11" s="60" t="s">
        <v>31</v>
      </c>
      <c r="N11" s="32" t="s">
        <v>382</v>
      </c>
      <c r="O11" s="6" t="s">
        <v>383</v>
      </c>
      <c r="P11" s="6" t="s">
        <v>384</v>
      </c>
      <c r="Q11" s="128" t="s">
        <v>385</v>
      </c>
      <c r="R11" s="12"/>
      <c r="S11" s="30" t="s">
        <v>34</v>
      </c>
      <c r="T11" s="12" t="s">
        <v>34</v>
      </c>
      <c r="U11" s="142" t="s">
        <v>379</v>
      </c>
      <c r="V11" s="12" t="s">
        <v>386</v>
      </c>
      <c r="W11" s="6" t="s">
        <v>387</v>
      </c>
      <c r="X11" s="6"/>
    </row>
    <row r="12" s="44" customFormat="1" ht="33" spans="1:24">
      <c r="A12" s="57" t="s">
        <v>63</v>
      </c>
      <c r="B12" s="57" t="s">
        <v>67</v>
      </c>
      <c r="C12" s="58" t="s">
        <v>61</v>
      </c>
      <c r="D12" s="59" t="s">
        <v>62</v>
      </c>
      <c r="E12" s="57" t="s">
        <v>67</v>
      </c>
      <c r="F12" s="57" t="s">
        <v>68</v>
      </c>
      <c r="G12" s="97" t="s">
        <v>30</v>
      </c>
      <c r="H12" s="98" t="s">
        <v>70</v>
      </c>
      <c r="I12" s="98" t="s">
        <v>71</v>
      </c>
      <c r="J12" s="114" t="s">
        <v>331</v>
      </c>
      <c r="K12" s="115" t="s">
        <v>70</v>
      </c>
      <c r="L12" s="59" t="s">
        <v>333</v>
      </c>
      <c r="M12" s="57" t="s">
        <v>31</v>
      </c>
      <c r="N12" s="124" t="s">
        <v>388</v>
      </c>
      <c r="O12" s="125"/>
      <c r="P12" s="125"/>
      <c r="Q12" s="129"/>
      <c r="R12" s="115"/>
      <c r="S12" s="130"/>
      <c r="T12" s="115"/>
      <c r="U12" s="98"/>
      <c r="V12" s="115"/>
      <c r="W12" s="125"/>
      <c r="X12" s="125"/>
    </row>
    <row r="13" ht="99" spans="1:24">
      <c r="A13" s="60" t="s">
        <v>63</v>
      </c>
      <c r="B13" s="60" t="s">
        <v>79</v>
      </c>
      <c r="C13" s="61" t="s">
        <v>74</v>
      </c>
      <c r="D13" s="29" t="s">
        <v>75</v>
      </c>
      <c r="E13" s="60" t="s">
        <v>79</v>
      </c>
      <c r="F13" s="60" t="s">
        <v>80</v>
      </c>
      <c r="G13" s="80" t="s">
        <v>82</v>
      </c>
      <c r="H13" s="94" t="s">
        <v>83</v>
      </c>
      <c r="I13" s="94" t="s">
        <v>84</v>
      </c>
      <c r="J13" s="116" t="s">
        <v>381</v>
      </c>
      <c r="K13" s="12" t="s">
        <v>83</v>
      </c>
      <c r="L13" s="29" t="s">
        <v>389</v>
      </c>
      <c r="M13" s="60" t="s">
        <v>31</v>
      </c>
      <c r="N13" s="32" t="s">
        <v>390</v>
      </c>
      <c r="O13" s="6" t="s">
        <v>391</v>
      </c>
      <c r="P13" s="6" t="s">
        <v>392</v>
      </c>
      <c r="Q13" s="128" t="s">
        <v>393</v>
      </c>
      <c r="R13" s="13"/>
      <c r="S13" s="118" t="s">
        <v>56</v>
      </c>
      <c r="T13" s="12" t="s">
        <v>56</v>
      </c>
      <c r="U13" s="143" t="s">
        <v>350</v>
      </c>
      <c r="V13" s="12" t="s">
        <v>394</v>
      </c>
      <c r="W13" s="6" t="s">
        <v>395</v>
      </c>
      <c r="X13" s="6"/>
    </row>
    <row r="14" ht="99" spans="1:24">
      <c r="A14" s="62" t="s">
        <v>63</v>
      </c>
      <c r="B14" s="53" t="s">
        <v>67</v>
      </c>
      <c r="C14" s="63" t="s">
        <v>87</v>
      </c>
      <c r="D14" s="53" t="s">
        <v>88</v>
      </c>
      <c r="E14" s="53" t="s">
        <v>67</v>
      </c>
      <c r="F14" s="53" t="s">
        <v>68</v>
      </c>
      <c r="G14" s="93" t="s">
        <v>30</v>
      </c>
      <c r="H14" s="94" t="s">
        <v>47</v>
      </c>
      <c r="I14" s="94" t="s">
        <v>92</v>
      </c>
      <c r="J14" s="116" t="s">
        <v>374</v>
      </c>
      <c r="K14" s="12" t="s">
        <v>47</v>
      </c>
      <c r="L14" s="29" t="s">
        <v>396</v>
      </c>
      <c r="M14" s="60" t="s">
        <v>31</v>
      </c>
      <c r="N14" s="32" t="s">
        <v>397</v>
      </c>
      <c r="O14" s="6" t="s">
        <v>398</v>
      </c>
      <c r="P14" s="6" t="s">
        <v>399</v>
      </c>
      <c r="Q14" s="128" t="s">
        <v>400</v>
      </c>
      <c r="R14" s="13"/>
      <c r="S14" s="30" t="s">
        <v>34</v>
      </c>
      <c r="T14" s="12" t="s">
        <v>34</v>
      </c>
      <c r="U14" s="142" t="s">
        <v>401</v>
      </c>
      <c r="V14" s="12" t="s">
        <v>402</v>
      </c>
      <c r="W14" s="6" t="s">
        <v>403</v>
      </c>
      <c r="X14" s="6"/>
    </row>
    <row r="15" ht="99" spans="1:24">
      <c r="A15" s="64"/>
      <c r="B15" s="55"/>
      <c r="C15" s="63"/>
      <c r="D15" s="55"/>
      <c r="E15" s="55"/>
      <c r="F15" s="55"/>
      <c r="G15" s="95"/>
      <c r="H15" s="96"/>
      <c r="I15" s="96"/>
      <c r="J15" s="116" t="s">
        <v>331</v>
      </c>
      <c r="K15" s="12" t="s">
        <v>47</v>
      </c>
      <c r="L15" s="29" t="s">
        <v>396</v>
      </c>
      <c r="M15" s="60" t="s">
        <v>31</v>
      </c>
      <c r="N15" s="32" t="s">
        <v>397</v>
      </c>
      <c r="O15" s="6" t="s">
        <v>404</v>
      </c>
      <c r="P15" s="6" t="s">
        <v>405</v>
      </c>
      <c r="Q15" s="128" t="s">
        <v>400</v>
      </c>
      <c r="R15" s="13"/>
      <c r="S15" s="30" t="s">
        <v>34</v>
      </c>
      <c r="T15" s="12" t="s">
        <v>34</v>
      </c>
      <c r="U15" s="142" t="s">
        <v>401</v>
      </c>
      <c r="V15" s="12" t="s">
        <v>406</v>
      </c>
      <c r="W15" s="113"/>
      <c r="X15" s="6"/>
    </row>
    <row r="16" ht="82.5" spans="1:24">
      <c r="A16" s="60" t="s">
        <v>63</v>
      </c>
      <c r="B16" s="65" t="s">
        <v>79</v>
      </c>
      <c r="C16" s="66" t="s">
        <v>96</v>
      </c>
      <c r="D16" s="67" t="s">
        <v>97</v>
      </c>
      <c r="E16" s="65" t="s">
        <v>79</v>
      </c>
      <c r="F16" s="65" t="s">
        <v>80</v>
      </c>
      <c r="G16" s="60" t="s">
        <v>46</v>
      </c>
      <c r="H16" s="99" t="s">
        <v>83</v>
      </c>
      <c r="I16" s="99" t="s">
        <v>84</v>
      </c>
      <c r="J16" s="116" t="s">
        <v>381</v>
      </c>
      <c r="K16" s="12" t="s">
        <v>83</v>
      </c>
      <c r="L16" s="29" t="s">
        <v>389</v>
      </c>
      <c r="M16" s="60" t="s">
        <v>100</v>
      </c>
      <c r="N16" s="32" t="s">
        <v>97</v>
      </c>
      <c r="O16" s="6" t="s">
        <v>407</v>
      </c>
      <c r="P16" s="6" t="s">
        <v>408</v>
      </c>
      <c r="Q16" s="128"/>
      <c r="R16" s="12"/>
      <c r="S16" s="118" t="s">
        <v>34</v>
      </c>
      <c r="T16" s="12" t="s">
        <v>34</v>
      </c>
      <c r="U16" s="143" t="s">
        <v>409</v>
      </c>
      <c r="V16" s="12" t="s">
        <v>410</v>
      </c>
      <c r="W16" s="6"/>
      <c r="X16" s="113"/>
    </row>
    <row r="17" ht="115.5" spans="1:24">
      <c r="A17" s="68" t="s">
        <v>23</v>
      </c>
      <c r="B17" s="60" t="s">
        <v>106</v>
      </c>
      <c r="C17" s="61" t="s">
        <v>112</v>
      </c>
      <c r="D17" s="29" t="s">
        <v>113</v>
      </c>
      <c r="E17" s="60" t="s">
        <v>106</v>
      </c>
      <c r="F17" s="60" t="s">
        <v>116</v>
      </c>
      <c r="G17" s="60" t="s">
        <v>117</v>
      </c>
      <c r="H17" s="94" t="s">
        <v>119</v>
      </c>
      <c r="I17" s="94" t="s">
        <v>71</v>
      </c>
      <c r="J17" s="117" t="s">
        <v>331</v>
      </c>
      <c r="K17" s="12" t="s">
        <v>119</v>
      </c>
      <c r="L17" s="29" t="s">
        <v>333</v>
      </c>
      <c r="M17" s="29" t="s">
        <v>118</v>
      </c>
      <c r="N17" s="32" t="s">
        <v>411</v>
      </c>
      <c r="O17" s="6" t="s">
        <v>412</v>
      </c>
      <c r="P17" s="6" t="s">
        <v>413</v>
      </c>
      <c r="Q17" s="128" t="s">
        <v>414</v>
      </c>
      <c r="R17" s="12"/>
      <c r="S17" s="30" t="s">
        <v>34</v>
      </c>
      <c r="T17" s="12" t="s">
        <v>34</v>
      </c>
      <c r="U17" s="99" t="s">
        <v>409</v>
      </c>
      <c r="V17" s="6" t="s">
        <v>415</v>
      </c>
      <c r="W17" s="6"/>
      <c r="X17" s="113"/>
    </row>
    <row r="18" ht="49.5" spans="1:24">
      <c r="A18" s="60" t="s">
        <v>23</v>
      </c>
      <c r="B18" s="65" t="s">
        <v>106</v>
      </c>
      <c r="C18" s="66" t="s">
        <v>132</v>
      </c>
      <c r="D18" s="67" t="s">
        <v>133</v>
      </c>
      <c r="E18" s="65" t="s">
        <v>106</v>
      </c>
      <c r="F18" s="65" t="s">
        <v>137</v>
      </c>
      <c r="G18" s="60" t="s">
        <v>138</v>
      </c>
      <c r="H18" s="12" t="s">
        <v>129</v>
      </c>
      <c r="I18" s="12" t="s">
        <v>55</v>
      </c>
      <c r="J18" s="117" t="s">
        <v>370</v>
      </c>
      <c r="K18" s="12" t="s">
        <v>129</v>
      </c>
      <c r="L18" s="116" t="s">
        <v>416</v>
      </c>
      <c r="M18" s="29"/>
      <c r="N18" s="32" t="s">
        <v>417</v>
      </c>
      <c r="O18" s="6" t="s">
        <v>418</v>
      </c>
      <c r="P18" s="6" t="s">
        <v>419</v>
      </c>
      <c r="Q18" s="128"/>
      <c r="R18" s="13"/>
      <c r="S18" s="30" t="s">
        <v>56</v>
      </c>
      <c r="T18" s="12" t="s">
        <v>34</v>
      </c>
      <c r="U18" s="142" t="s">
        <v>409</v>
      </c>
      <c r="V18" s="12" t="s">
        <v>420</v>
      </c>
      <c r="W18" s="113"/>
      <c r="X18" s="113"/>
    </row>
    <row r="19" ht="49.5" spans="1:24">
      <c r="A19" s="60" t="s">
        <v>23</v>
      </c>
      <c r="B19" s="60" t="s">
        <v>27</v>
      </c>
      <c r="C19" s="61" t="s">
        <v>142</v>
      </c>
      <c r="D19" s="29" t="s">
        <v>143</v>
      </c>
      <c r="E19" s="60" t="s">
        <v>27</v>
      </c>
      <c r="F19" s="60" t="s">
        <v>28</v>
      </c>
      <c r="G19" s="60" t="s">
        <v>54</v>
      </c>
      <c r="H19" s="12" t="s">
        <v>129</v>
      </c>
      <c r="I19" s="12" t="s">
        <v>33</v>
      </c>
      <c r="J19" s="8" t="s">
        <v>339</v>
      </c>
      <c r="K19" s="12"/>
      <c r="L19" s="116"/>
      <c r="M19" s="29"/>
      <c r="N19" s="32"/>
      <c r="O19" s="6" t="s">
        <v>421</v>
      </c>
      <c r="P19" s="6" t="s">
        <v>422</v>
      </c>
      <c r="Q19" s="128"/>
      <c r="R19" s="13"/>
      <c r="S19" s="30" t="s">
        <v>56</v>
      </c>
      <c r="T19" s="12" t="s">
        <v>34</v>
      </c>
      <c r="U19" s="142" t="s">
        <v>409</v>
      </c>
      <c r="V19" s="12"/>
      <c r="W19" s="113"/>
      <c r="X19" s="113"/>
    </row>
    <row r="20" ht="99" spans="1:24">
      <c r="A20" s="60" t="s">
        <v>63</v>
      </c>
      <c r="B20" s="60" t="s">
        <v>27</v>
      </c>
      <c r="C20" s="61" t="s">
        <v>148</v>
      </c>
      <c r="D20" s="29" t="s">
        <v>149</v>
      </c>
      <c r="E20" s="60" t="s">
        <v>27</v>
      </c>
      <c r="F20" s="60" t="s">
        <v>153</v>
      </c>
      <c r="G20" s="60" t="s">
        <v>154</v>
      </c>
      <c r="H20" s="12" t="s">
        <v>83</v>
      </c>
      <c r="I20" s="12" t="s">
        <v>71</v>
      </c>
      <c r="J20" s="117" t="s">
        <v>331</v>
      </c>
      <c r="K20" s="12" t="s">
        <v>83</v>
      </c>
      <c r="L20" s="29" t="s">
        <v>423</v>
      </c>
      <c r="M20" s="60" t="s">
        <v>155</v>
      </c>
      <c r="N20" s="6" t="s">
        <v>424</v>
      </c>
      <c r="O20" s="6" t="s">
        <v>425</v>
      </c>
      <c r="P20" s="6" t="s">
        <v>426</v>
      </c>
      <c r="Q20" s="128" t="s">
        <v>427</v>
      </c>
      <c r="R20" s="13"/>
      <c r="S20" s="118" t="s">
        <v>56</v>
      </c>
      <c r="T20" s="12" t="s">
        <v>56</v>
      </c>
      <c r="U20" s="142" t="s">
        <v>350</v>
      </c>
      <c r="V20" s="12" t="s">
        <v>415</v>
      </c>
      <c r="W20" s="6" t="s">
        <v>428</v>
      </c>
      <c r="X20" s="113"/>
    </row>
    <row r="21" ht="99" spans="1:24">
      <c r="A21" s="60" t="s">
        <v>63</v>
      </c>
      <c r="B21" s="60" t="s">
        <v>43</v>
      </c>
      <c r="C21" s="63" t="s">
        <v>197</v>
      </c>
      <c r="D21" s="60" t="s">
        <v>198</v>
      </c>
      <c r="E21" s="60" t="s">
        <v>43</v>
      </c>
      <c r="F21" s="60"/>
      <c r="G21" s="60" t="s">
        <v>202</v>
      </c>
      <c r="H21" s="99" t="s">
        <v>204</v>
      </c>
      <c r="I21" s="99" t="s">
        <v>84</v>
      </c>
      <c r="J21" s="13" t="s">
        <v>381</v>
      </c>
      <c r="K21" s="12" t="s">
        <v>204</v>
      </c>
      <c r="L21" s="118" t="s">
        <v>429</v>
      </c>
      <c r="M21" s="29"/>
      <c r="N21" s="6" t="s">
        <v>205</v>
      </c>
      <c r="O21" s="32" t="s">
        <v>430</v>
      </c>
      <c r="P21" s="32" t="s">
        <v>431</v>
      </c>
      <c r="Q21" s="131" t="s">
        <v>432</v>
      </c>
      <c r="R21" s="80"/>
      <c r="S21" s="132" t="s">
        <v>34</v>
      </c>
      <c r="T21" s="12" t="s">
        <v>34</v>
      </c>
      <c r="U21" s="142" t="s">
        <v>409</v>
      </c>
      <c r="V21" s="12" t="s">
        <v>433</v>
      </c>
      <c r="W21" s="6" t="s">
        <v>434</v>
      </c>
      <c r="X21" s="113"/>
    </row>
    <row r="22" ht="99" spans="1:24">
      <c r="A22" s="53" t="s">
        <v>63</v>
      </c>
      <c r="B22" s="53" t="s">
        <v>43</v>
      </c>
      <c r="C22" s="63" t="s">
        <v>207</v>
      </c>
      <c r="D22" s="53" t="s">
        <v>208</v>
      </c>
      <c r="E22" s="53" t="s">
        <v>43</v>
      </c>
      <c r="F22" s="53"/>
      <c r="G22" s="53" t="s">
        <v>202</v>
      </c>
      <c r="H22" s="94" t="s">
        <v>204</v>
      </c>
      <c r="I22" s="94" t="s">
        <v>84</v>
      </c>
      <c r="J22" s="13" t="s">
        <v>381</v>
      </c>
      <c r="K22" s="12" t="s">
        <v>204</v>
      </c>
      <c r="L22" s="118" t="s">
        <v>429</v>
      </c>
      <c r="M22" s="106"/>
      <c r="N22" s="6" t="s">
        <v>435</v>
      </c>
      <c r="O22" s="32" t="s">
        <v>436</v>
      </c>
      <c r="P22" s="32" t="s">
        <v>437</v>
      </c>
      <c r="Q22" s="131" t="s">
        <v>438</v>
      </c>
      <c r="R22" s="93"/>
      <c r="S22" s="30" t="s">
        <v>56</v>
      </c>
      <c r="T22" s="12" t="s">
        <v>56</v>
      </c>
      <c r="U22" s="99" t="s">
        <v>355</v>
      </c>
      <c r="V22" s="144" t="s">
        <v>439</v>
      </c>
      <c r="W22" s="145" t="s">
        <v>434</v>
      </c>
      <c r="X22" s="146"/>
    </row>
    <row r="23" ht="33" spans="1:24">
      <c r="A23" s="55"/>
      <c r="B23" s="55"/>
      <c r="C23" s="63"/>
      <c r="D23" s="55"/>
      <c r="E23" s="55"/>
      <c r="F23" s="55"/>
      <c r="G23" s="55"/>
      <c r="H23" s="96"/>
      <c r="I23" s="96"/>
      <c r="J23" s="13" t="s">
        <v>339</v>
      </c>
      <c r="K23" s="12" t="s">
        <v>129</v>
      </c>
      <c r="L23" s="118" t="s">
        <v>416</v>
      </c>
      <c r="M23" s="106"/>
      <c r="N23" s="6" t="s">
        <v>440</v>
      </c>
      <c r="O23" s="6" t="s">
        <v>441</v>
      </c>
      <c r="P23" s="6" t="s">
        <v>442</v>
      </c>
      <c r="Q23" s="128"/>
      <c r="R23" s="133"/>
      <c r="S23" s="30" t="s">
        <v>56</v>
      </c>
      <c r="T23" s="12" t="s">
        <v>443</v>
      </c>
      <c r="U23" s="143" t="s">
        <v>350</v>
      </c>
      <c r="V23" s="144" t="s">
        <v>369</v>
      </c>
      <c r="W23" s="146"/>
      <c r="X23" s="146"/>
    </row>
    <row r="24" ht="33" spans="1:24">
      <c r="A24" s="69" t="s">
        <v>63</v>
      </c>
      <c r="B24" s="70" t="s">
        <v>43</v>
      </c>
      <c r="C24" s="63" t="s">
        <v>214</v>
      </c>
      <c r="D24" s="71" t="s">
        <v>215</v>
      </c>
      <c r="E24" s="70" t="s">
        <v>43</v>
      </c>
      <c r="F24" s="53"/>
      <c r="G24" s="53" t="s">
        <v>202</v>
      </c>
      <c r="H24" s="94" t="s">
        <v>204</v>
      </c>
      <c r="I24" s="94" t="s">
        <v>84</v>
      </c>
      <c r="J24" s="13" t="s">
        <v>381</v>
      </c>
      <c r="K24" s="12" t="s">
        <v>204</v>
      </c>
      <c r="L24" s="119" t="s">
        <v>429</v>
      </c>
      <c r="M24" s="67"/>
      <c r="N24" s="32" t="s">
        <v>444</v>
      </c>
      <c r="O24" s="6" t="s">
        <v>445</v>
      </c>
      <c r="P24" s="6" t="s">
        <v>446</v>
      </c>
      <c r="Q24" s="134" t="s">
        <v>447</v>
      </c>
      <c r="R24" s="133"/>
      <c r="S24" s="30" t="s">
        <v>56</v>
      </c>
      <c r="T24" s="12" t="s">
        <v>56</v>
      </c>
      <c r="U24" s="99" t="s">
        <v>355</v>
      </c>
      <c r="V24" s="144" t="s">
        <v>448</v>
      </c>
      <c r="W24" s="144" t="s">
        <v>434</v>
      </c>
      <c r="X24" s="133"/>
    </row>
    <row r="25" ht="49.5" spans="1:24">
      <c r="A25" s="72"/>
      <c r="B25" s="73"/>
      <c r="C25" s="74"/>
      <c r="D25" s="75"/>
      <c r="E25" s="73"/>
      <c r="F25" s="100"/>
      <c r="G25" s="54"/>
      <c r="H25" s="101"/>
      <c r="I25" s="101"/>
      <c r="J25" s="13" t="s">
        <v>331</v>
      </c>
      <c r="K25" s="12" t="s">
        <v>204</v>
      </c>
      <c r="L25" s="119" t="s">
        <v>429</v>
      </c>
      <c r="M25" s="67"/>
      <c r="N25" s="32" t="s">
        <v>449</v>
      </c>
      <c r="O25" s="6"/>
      <c r="P25" s="6"/>
      <c r="Q25" s="134"/>
      <c r="R25" s="133"/>
      <c r="S25" s="30" t="s">
        <v>56</v>
      </c>
      <c r="T25" s="12" t="s">
        <v>56</v>
      </c>
      <c r="U25" s="99" t="s">
        <v>355</v>
      </c>
      <c r="V25" s="144" t="s">
        <v>450</v>
      </c>
      <c r="W25" s="133"/>
      <c r="X25" s="144" t="s">
        <v>451</v>
      </c>
    </row>
    <row r="26" spans="1:24">
      <c r="A26" s="76"/>
      <c r="B26" s="77"/>
      <c r="C26" s="74"/>
      <c r="D26" s="78"/>
      <c r="E26" s="77"/>
      <c r="F26" s="102"/>
      <c r="G26" s="55"/>
      <c r="H26" s="96"/>
      <c r="I26" s="96"/>
      <c r="J26" s="13" t="s">
        <v>339</v>
      </c>
      <c r="K26" s="12" t="s">
        <v>204</v>
      </c>
      <c r="L26" s="119" t="s">
        <v>429</v>
      </c>
      <c r="M26" s="67"/>
      <c r="N26" s="32" t="s">
        <v>452</v>
      </c>
      <c r="O26" s="6"/>
      <c r="P26" s="6"/>
      <c r="Q26" s="134"/>
      <c r="R26" s="133"/>
      <c r="S26" s="12" t="s">
        <v>56</v>
      </c>
      <c r="T26" s="12" t="s">
        <v>56</v>
      </c>
      <c r="U26" s="99" t="s">
        <v>355</v>
      </c>
      <c r="V26" s="144" t="s">
        <v>369</v>
      </c>
      <c r="W26" s="133"/>
      <c r="X26" s="133"/>
    </row>
    <row r="27" ht="49.5" spans="1:24">
      <c r="A27" s="60" t="s">
        <v>63</v>
      </c>
      <c r="B27" s="79" t="s">
        <v>43</v>
      </c>
      <c r="C27" s="74" t="s">
        <v>219</v>
      </c>
      <c r="D27" s="65" t="s">
        <v>220</v>
      </c>
      <c r="E27" s="79" t="s">
        <v>43</v>
      </c>
      <c r="F27" s="103"/>
      <c r="G27" s="60" t="s">
        <v>202</v>
      </c>
      <c r="H27" s="99" t="s">
        <v>204</v>
      </c>
      <c r="I27" s="99" t="s">
        <v>84</v>
      </c>
      <c r="J27" s="13" t="s">
        <v>381</v>
      </c>
      <c r="K27" s="12" t="s">
        <v>204</v>
      </c>
      <c r="L27" s="118" t="s">
        <v>429</v>
      </c>
      <c r="M27" s="67"/>
      <c r="N27" s="32" t="s">
        <v>453</v>
      </c>
      <c r="O27" s="6" t="s">
        <v>454</v>
      </c>
      <c r="P27" s="6" t="s">
        <v>455</v>
      </c>
      <c r="Q27" s="128"/>
      <c r="R27" s="13"/>
      <c r="S27" s="30" t="s">
        <v>56</v>
      </c>
      <c r="T27" s="12" t="s">
        <v>56</v>
      </c>
      <c r="U27" s="99" t="s">
        <v>355</v>
      </c>
      <c r="V27" s="12" t="s">
        <v>456</v>
      </c>
      <c r="W27" s="13"/>
      <c r="X27" s="13"/>
    </row>
    <row r="28" ht="49.5" spans="1:24">
      <c r="A28" s="80" t="s">
        <v>63</v>
      </c>
      <c r="B28" s="81" t="s">
        <v>67</v>
      </c>
      <c r="C28" s="61" t="s">
        <v>239</v>
      </c>
      <c r="D28" s="29" t="s">
        <v>240</v>
      </c>
      <c r="E28" s="81" t="s">
        <v>67</v>
      </c>
      <c r="F28" s="60" t="s">
        <v>68</v>
      </c>
      <c r="G28" s="60" t="s">
        <v>30</v>
      </c>
      <c r="H28" s="12" t="s">
        <v>47</v>
      </c>
      <c r="I28" s="99" t="s">
        <v>55</v>
      </c>
      <c r="J28" s="13" t="s">
        <v>370</v>
      </c>
      <c r="K28" s="12" t="s">
        <v>47</v>
      </c>
      <c r="L28" s="118" t="s">
        <v>396</v>
      </c>
      <c r="M28" s="29" t="s">
        <v>242</v>
      </c>
      <c r="N28" s="6" t="s">
        <v>457</v>
      </c>
      <c r="O28" s="6" t="s">
        <v>458</v>
      </c>
      <c r="P28" s="6" t="s">
        <v>459</v>
      </c>
      <c r="Q28" s="128"/>
      <c r="R28" s="13"/>
      <c r="S28" s="30" t="s">
        <v>34</v>
      </c>
      <c r="T28" s="12" t="s">
        <v>34</v>
      </c>
      <c r="U28" s="142" t="s">
        <v>355</v>
      </c>
      <c r="V28" s="12" t="s">
        <v>460</v>
      </c>
      <c r="W28" s="13"/>
      <c r="X28" s="13"/>
    </row>
    <row r="29" s="45" customFormat="1" ht="66" spans="1:24">
      <c r="A29" s="82" t="s">
        <v>63</v>
      </c>
      <c r="B29" s="83"/>
      <c r="C29" s="84" t="s">
        <v>257</v>
      </c>
      <c r="D29" s="85" t="s">
        <v>258</v>
      </c>
      <c r="E29" s="83"/>
      <c r="F29" s="104"/>
      <c r="G29" s="94" t="s">
        <v>259</v>
      </c>
      <c r="H29" s="94" t="s">
        <v>174</v>
      </c>
      <c r="I29" s="94" t="s">
        <v>71</v>
      </c>
      <c r="J29" s="117" t="s">
        <v>331</v>
      </c>
      <c r="K29" s="12" t="s">
        <v>174</v>
      </c>
      <c r="L29" s="117" t="s">
        <v>333</v>
      </c>
      <c r="M29" s="29" t="s">
        <v>260</v>
      </c>
      <c r="N29" s="126" t="s">
        <v>461</v>
      </c>
      <c r="O29" s="39" t="s">
        <v>462</v>
      </c>
      <c r="P29" s="6" t="s">
        <v>463</v>
      </c>
      <c r="Q29" s="135" t="s">
        <v>464</v>
      </c>
      <c r="R29" s="80"/>
      <c r="S29" s="13" t="s">
        <v>56</v>
      </c>
      <c r="T29" s="118" t="s">
        <v>56</v>
      </c>
      <c r="U29" s="143" t="s">
        <v>355</v>
      </c>
      <c r="V29" s="99" t="s">
        <v>465</v>
      </c>
      <c r="W29" s="8" t="s">
        <v>345</v>
      </c>
      <c r="X29" s="8" t="s">
        <v>466</v>
      </c>
    </row>
    <row r="30" customFormat="1" ht="33" spans="1:24">
      <c r="A30" s="86"/>
      <c r="B30" s="87"/>
      <c r="C30" s="84"/>
      <c r="D30" s="88"/>
      <c r="E30" s="87"/>
      <c r="F30" s="105"/>
      <c r="G30" s="95"/>
      <c r="H30" s="96"/>
      <c r="I30" s="96"/>
      <c r="J30" s="117" t="s">
        <v>339</v>
      </c>
      <c r="K30" s="12" t="s">
        <v>174</v>
      </c>
      <c r="L30" s="118" t="s">
        <v>416</v>
      </c>
      <c r="M30" s="29" t="s">
        <v>260</v>
      </c>
      <c r="N30" s="6" t="s">
        <v>467</v>
      </c>
      <c r="O30" s="39" t="s">
        <v>462</v>
      </c>
      <c r="P30" s="6" t="s">
        <v>463</v>
      </c>
      <c r="Q30" s="135" t="s">
        <v>464</v>
      </c>
      <c r="R30" s="13"/>
      <c r="S30" s="13" t="s">
        <v>56</v>
      </c>
      <c r="T30" s="118" t="s">
        <v>56</v>
      </c>
      <c r="U30" s="143" t="s">
        <v>350</v>
      </c>
      <c r="V30" s="99" t="s">
        <v>465</v>
      </c>
      <c r="W30" s="12"/>
      <c r="X30" s="13"/>
    </row>
    <row r="31" ht="49.5" spans="1:24">
      <c r="A31" s="80" t="s">
        <v>63</v>
      </c>
      <c r="B31" s="89"/>
      <c r="C31" s="90" t="s">
        <v>263</v>
      </c>
      <c r="D31" s="91" t="s">
        <v>264</v>
      </c>
      <c r="E31" s="89"/>
      <c r="F31" s="106"/>
      <c r="G31" s="94" t="s">
        <v>265</v>
      </c>
      <c r="H31" s="12" t="s">
        <v>174</v>
      </c>
      <c r="I31" s="12" t="s">
        <v>71</v>
      </c>
      <c r="J31" s="117" t="s">
        <v>331</v>
      </c>
      <c r="K31" s="12" t="s">
        <v>174</v>
      </c>
      <c r="L31" s="118" t="s">
        <v>333</v>
      </c>
      <c r="M31" s="29" t="s">
        <v>266</v>
      </c>
      <c r="N31" s="6" t="s">
        <v>468</v>
      </c>
      <c r="O31" s="39" t="s">
        <v>469</v>
      </c>
      <c r="P31" s="6" t="s">
        <v>470</v>
      </c>
      <c r="Q31" s="128" t="s">
        <v>471</v>
      </c>
      <c r="R31" s="13"/>
      <c r="S31" s="13" t="s">
        <v>56</v>
      </c>
      <c r="T31" s="118" t="s">
        <v>56</v>
      </c>
      <c r="U31" s="143" t="s">
        <v>355</v>
      </c>
      <c r="V31" s="12" t="s">
        <v>406</v>
      </c>
      <c r="W31" s="12" t="s">
        <v>345</v>
      </c>
      <c r="X31" s="13"/>
    </row>
    <row r="32" ht="99" spans="1:24">
      <c r="A32" s="53" t="s">
        <v>23</v>
      </c>
      <c r="B32" s="92"/>
      <c r="C32" s="92" t="s">
        <v>472</v>
      </c>
      <c r="D32" s="53" t="s">
        <v>278</v>
      </c>
      <c r="E32" s="92"/>
      <c r="F32" s="53"/>
      <c r="G32" s="95"/>
      <c r="H32" s="53" t="s">
        <v>279</v>
      </c>
      <c r="I32" s="53" t="s">
        <v>33</v>
      </c>
      <c r="J32" s="8" t="s">
        <v>339</v>
      </c>
      <c r="K32" s="12" t="s">
        <v>279</v>
      </c>
      <c r="L32" s="118" t="s">
        <v>416</v>
      </c>
      <c r="M32" s="29"/>
      <c r="N32" s="6" t="s">
        <v>473</v>
      </c>
      <c r="O32" s="6" t="s">
        <v>474</v>
      </c>
      <c r="P32" s="6" t="s">
        <v>475</v>
      </c>
      <c r="Q32" s="128" t="s">
        <v>476</v>
      </c>
      <c r="R32" s="13"/>
      <c r="S32" s="132" t="s">
        <v>56</v>
      </c>
      <c r="T32" s="12" t="s">
        <v>56</v>
      </c>
      <c r="U32" s="142" t="s">
        <v>350</v>
      </c>
      <c r="V32" s="6" t="s">
        <v>369</v>
      </c>
      <c r="W32" s="12"/>
      <c r="X32" s="12" t="s">
        <v>477</v>
      </c>
    </row>
    <row r="33" ht="33" spans="1:24">
      <c r="A33" s="53" t="s">
        <v>23</v>
      </c>
      <c r="B33" s="92"/>
      <c r="C33" s="92" t="s">
        <v>472</v>
      </c>
      <c r="D33" s="53" t="s">
        <v>478</v>
      </c>
      <c r="E33" s="92"/>
      <c r="F33" s="53"/>
      <c r="G33" s="53"/>
      <c r="H33" s="53" t="s">
        <v>279</v>
      </c>
      <c r="I33" s="53" t="s">
        <v>33</v>
      </c>
      <c r="J33" s="8" t="s">
        <v>339</v>
      </c>
      <c r="K33" s="12" t="s">
        <v>279</v>
      </c>
      <c r="L33" s="118" t="s">
        <v>416</v>
      </c>
      <c r="M33" s="29"/>
      <c r="N33" s="6" t="s">
        <v>479</v>
      </c>
      <c r="O33" s="6" t="s">
        <v>480</v>
      </c>
      <c r="P33" s="6" t="s">
        <v>481</v>
      </c>
      <c r="Q33" s="113"/>
      <c r="R33" s="13"/>
      <c r="S33" s="132" t="s">
        <v>56</v>
      </c>
      <c r="T33" s="12" t="s">
        <v>56</v>
      </c>
      <c r="U33" s="142" t="s">
        <v>350</v>
      </c>
      <c r="V33" s="6" t="s">
        <v>369</v>
      </c>
      <c r="W33" s="12"/>
      <c r="X33" s="12" t="s">
        <v>477</v>
      </c>
    </row>
    <row r="34" ht="99" spans="1:24">
      <c r="A34" s="60" t="s">
        <v>63</v>
      </c>
      <c r="B34" s="29"/>
      <c r="C34" s="29" t="s">
        <v>472</v>
      </c>
      <c r="D34" s="99" t="s">
        <v>280</v>
      </c>
      <c r="E34" s="29"/>
      <c r="F34" s="60"/>
      <c r="G34" s="60"/>
      <c r="H34" s="60" t="s">
        <v>129</v>
      </c>
      <c r="I34" s="53" t="s">
        <v>33</v>
      </c>
      <c r="J34" s="8" t="s">
        <v>339</v>
      </c>
      <c r="K34" s="12" t="s">
        <v>129</v>
      </c>
      <c r="L34" s="116" t="s">
        <v>429</v>
      </c>
      <c r="M34" s="67"/>
      <c r="N34" s="6" t="s">
        <v>482</v>
      </c>
      <c r="O34" s="6" t="s">
        <v>483</v>
      </c>
      <c r="P34" s="6" t="s">
        <v>484</v>
      </c>
      <c r="Q34" s="128" t="s">
        <v>485</v>
      </c>
      <c r="R34" s="13"/>
      <c r="S34" s="30" t="s">
        <v>56</v>
      </c>
      <c r="T34" s="12" t="s">
        <v>56</v>
      </c>
      <c r="U34" s="143" t="s">
        <v>350</v>
      </c>
      <c r="V34" s="6" t="s">
        <v>369</v>
      </c>
      <c r="W34" s="12" t="s">
        <v>434</v>
      </c>
      <c r="X34" s="13"/>
    </row>
    <row r="35" ht="99" spans="1:24">
      <c r="A35" s="53" t="s">
        <v>23</v>
      </c>
      <c r="B35" s="92"/>
      <c r="C35" s="92" t="s">
        <v>472</v>
      </c>
      <c r="D35" s="53" t="s">
        <v>281</v>
      </c>
      <c r="E35" s="92"/>
      <c r="F35" s="53"/>
      <c r="G35" s="53"/>
      <c r="H35" s="60" t="s">
        <v>129</v>
      </c>
      <c r="I35" s="53" t="s">
        <v>33</v>
      </c>
      <c r="J35" s="8" t="s">
        <v>339</v>
      </c>
      <c r="K35" s="12" t="s">
        <v>129</v>
      </c>
      <c r="L35" s="29" t="s">
        <v>486</v>
      </c>
      <c r="M35" s="67"/>
      <c r="N35" s="6" t="s">
        <v>487</v>
      </c>
      <c r="O35" s="6" t="s">
        <v>488</v>
      </c>
      <c r="P35" s="6" t="s">
        <v>489</v>
      </c>
      <c r="Q35" s="128" t="s">
        <v>490</v>
      </c>
      <c r="R35" s="13"/>
      <c r="S35" s="132" t="s">
        <v>34</v>
      </c>
      <c r="T35" s="12" t="s">
        <v>34</v>
      </c>
      <c r="U35" s="142" t="s">
        <v>409</v>
      </c>
      <c r="V35" s="6" t="s">
        <v>369</v>
      </c>
      <c r="W35" s="12" t="s">
        <v>364</v>
      </c>
      <c r="X35" s="13"/>
    </row>
    <row r="36" ht="99" spans="1:24">
      <c r="A36" s="53" t="s">
        <v>63</v>
      </c>
      <c r="B36" s="53" t="s">
        <v>60</v>
      </c>
      <c r="C36" s="147" t="s">
        <v>472</v>
      </c>
      <c r="D36" s="60" t="s">
        <v>491</v>
      </c>
      <c r="E36" s="29"/>
      <c r="F36" s="60"/>
      <c r="G36" s="60"/>
      <c r="H36" s="53" t="s">
        <v>284</v>
      </c>
      <c r="I36" s="53" t="s">
        <v>285</v>
      </c>
      <c r="J36" s="116" t="s">
        <v>492</v>
      </c>
      <c r="K36" s="12" t="s">
        <v>284</v>
      </c>
      <c r="L36" s="29" t="s">
        <v>357</v>
      </c>
      <c r="M36" s="29"/>
      <c r="N36" s="6" t="s">
        <v>493</v>
      </c>
      <c r="O36" s="29" t="s">
        <v>494</v>
      </c>
      <c r="P36" s="6" t="s">
        <v>495</v>
      </c>
      <c r="Q36" s="128" t="s">
        <v>496</v>
      </c>
      <c r="R36" s="13"/>
      <c r="S36" s="30" t="s">
        <v>34</v>
      </c>
      <c r="T36" s="12" t="s">
        <v>34</v>
      </c>
      <c r="U36" s="99" t="s">
        <v>409</v>
      </c>
      <c r="V36" s="12" t="s">
        <v>497</v>
      </c>
      <c r="W36" s="12" t="s">
        <v>364</v>
      </c>
      <c r="X36" s="13"/>
    </row>
    <row r="37" ht="99" spans="1:24">
      <c r="A37" s="54"/>
      <c r="B37" s="54"/>
      <c r="C37" s="21"/>
      <c r="D37" s="60" t="s">
        <v>491</v>
      </c>
      <c r="E37" s="29"/>
      <c r="F37" s="60"/>
      <c r="G37" s="60"/>
      <c r="H37" s="54"/>
      <c r="I37" s="54"/>
      <c r="J37" s="116" t="s">
        <v>331</v>
      </c>
      <c r="K37" s="12" t="s">
        <v>32</v>
      </c>
      <c r="L37" s="29" t="s">
        <v>333</v>
      </c>
      <c r="M37" s="29"/>
      <c r="N37" s="6" t="s">
        <v>498</v>
      </c>
      <c r="O37" s="29" t="s">
        <v>499</v>
      </c>
      <c r="P37" s="6" t="s">
        <v>500</v>
      </c>
      <c r="Q37" s="128" t="s">
        <v>496</v>
      </c>
      <c r="R37" s="13"/>
      <c r="S37" s="30" t="s">
        <v>34</v>
      </c>
      <c r="T37" s="12" t="s">
        <v>34</v>
      </c>
      <c r="U37" s="99" t="s">
        <v>409</v>
      </c>
      <c r="V37" s="12" t="s">
        <v>497</v>
      </c>
      <c r="W37" s="12" t="s">
        <v>428</v>
      </c>
      <c r="X37" s="13"/>
    </row>
    <row r="38" ht="99" spans="1:24">
      <c r="A38" s="55"/>
      <c r="B38" s="55"/>
      <c r="C38" s="22"/>
      <c r="D38" s="99" t="s">
        <v>501</v>
      </c>
      <c r="E38" s="13"/>
      <c r="F38" s="80"/>
      <c r="G38" s="80"/>
      <c r="H38" s="55"/>
      <c r="I38" s="55"/>
      <c r="J38" s="116" t="s">
        <v>331</v>
      </c>
      <c r="K38" s="12" t="s">
        <v>83</v>
      </c>
      <c r="L38" s="29" t="s">
        <v>333</v>
      </c>
      <c r="M38" s="29"/>
      <c r="N38" s="6" t="s">
        <v>502</v>
      </c>
      <c r="O38" s="29" t="s">
        <v>503</v>
      </c>
      <c r="P38" s="6" t="s">
        <v>504</v>
      </c>
      <c r="Q38" s="128" t="s">
        <v>496</v>
      </c>
      <c r="R38" s="13"/>
      <c r="S38" s="30" t="s">
        <v>34</v>
      </c>
      <c r="T38" s="12" t="s">
        <v>34</v>
      </c>
      <c r="U38" s="99" t="s">
        <v>409</v>
      </c>
      <c r="V38" s="12" t="s">
        <v>497</v>
      </c>
      <c r="W38" s="12" t="s">
        <v>428</v>
      </c>
      <c r="X38" s="13"/>
    </row>
    <row r="39" ht="66" spans="1:24">
      <c r="A39" s="60" t="s">
        <v>63</v>
      </c>
      <c r="B39" s="13"/>
      <c r="C39" s="29" t="s">
        <v>472</v>
      </c>
      <c r="D39" s="99" t="s">
        <v>287</v>
      </c>
      <c r="E39" s="13"/>
      <c r="F39" s="80"/>
      <c r="G39" s="80" t="s">
        <v>505</v>
      </c>
      <c r="H39" s="99" t="s">
        <v>174</v>
      </c>
      <c r="I39" s="99" t="s">
        <v>71</v>
      </c>
      <c r="J39" s="117" t="s">
        <v>331</v>
      </c>
      <c r="K39" s="99" t="s">
        <v>174</v>
      </c>
      <c r="L39" s="29" t="s">
        <v>416</v>
      </c>
      <c r="M39" s="29"/>
      <c r="N39" s="6" t="s">
        <v>506</v>
      </c>
      <c r="O39" s="39" t="s">
        <v>507</v>
      </c>
      <c r="P39" s="6" t="s">
        <v>508</v>
      </c>
      <c r="Q39" s="150" t="s">
        <v>509</v>
      </c>
      <c r="R39" s="13"/>
      <c r="S39" s="30" t="s">
        <v>34</v>
      </c>
      <c r="T39" s="12" t="s">
        <v>34</v>
      </c>
      <c r="U39" s="99" t="s">
        <v>409</v>
      </c>
      <c r="V39" s="12" t="s">
        <v>406</v>
      </c>
      <c r="W39" s="12"/>
      <c r="X39" s="13"/>
    </row>
    <row r="40" ht="33" spans="1:24">
      <c r="A40" s="60" t="s">
        <v>63</v>
      </c>
      <c r="B40" s="13"/>
      <c r="C40" s="29" t="s">
        <v>472</v>
      </c>
      <c r="D40" s="94" t="s">
        <v>290</v>
      </c>
      <c r="E40" s="13"/>
      <c r="F40" s="80"/>
      <c r="G40" s="80"/>
      <c r="H40" s="99" t="s">
        <v>174</v>
      </c>
      <c r="I40" s="99" t="s">
        <v>291</v>
      </c>
      <c r="J40" s="13" t="s">
        <v>492</v>
      </c>
      <c r="K40" s="99" t="s">
        <v>174</v>
      </c>
      <c r="L40" s="118" t="s">
        <v>510</v>
      </c>
      <c r="M40" s="29"/>
      <c r="N40" s="6" t="s">
        <v>511</v>
      </c>
      <c r="O40" s="39" t="s">
        <v>289</v>
      </c>
      <c r="P40" s="6" t="s">
        <v>512</v>
      </c>
      <c r="Q40" s="135" t="s">
        <v>513</v>
      </c>
      <c r="R40" s="13"/>
      <c r="S40" s="30" t="s">
        <v>34</v>
      </c>
      <c r="T40" s="12" t="s">
        <v>34</v>
      </c>
      <c r="U40" s="99" t="s">
        <v>409</v>
      </c>
      <c r="V40" s="12"/>
      <c r="W40" s="12" t="s">
        <v>514</v>
      </c>
      <c r="X40" s="13"/>
    </row>
    <row r="41" ht="49.5" spans="1:24">
      <c r="A41" s="60" t="s">
        <v>63</v>
      </c>
      <c r="B41" s="13"/>
      <c r="C41" s="29" t="s">
        <v>472</v>
      </c>
      <c r="D41" s="94" t="s">
        <v>294</v>
      </c>
      <c r="E41" s="13"/>
      <c r="F41" s="80"/>
      <c r="G41" s="80"/>
      <c r="H41" s="99" t="s">
        <v>83</v>
      </c>
      <c r="I41" s="99" t="s">
        <v>291</v>
      </c>
      <c r="J41" s="13" t="s">
        <v>381</v>
      </c>
      <c r="K41" s="12" t="s">
        <v>83</v>
      </c>
      <c r="L41" s="116" t="s">
        <v>389</v>
      </c>
      <c r="M41" s="13"/>
      <c r="N41" s="12" t="s">
        <v>515</v>
      </c>
      <c r="O41" s="6" t="s">
        <v>293</v>
      </c>
      <c r="P41" s="6" t="s">
        <v>516</v>
      </c>
      <c r="Q41" s="113"/>
      <c r="R41" s="13"/>
      <c r="S41" s="30" t="s">
        <v>34</v>
      </c>
      <c r="T41" s="12" t="s">
        <v>34</v>
      </c>
      <c r="U41" s="99" t="s">
        <v>409</v>
      </c>
      <c r="V41" s="12"/>
      <c r="W41" s="12" t="s">
        <v>517</v>
      </c>
      <c r="X41" s="13"/>
    </row>
    <row r="42" ht="33" spans="1:24">
      <c r="A42" s="60" t="s">
        <v>63</v>
      </c>
      <c r="B42" s="13"/>
      <c r="C42" s="29" t="s">
        <v>472</v>
      </c>
      <c r="D42" s="94" t="s">
        <v>299</v>
      </c>
      <c r="E42" s="13"/>
      <c r="F42" s="80"/>
      <c r="G42" s="80"/>
      <c r="H42" s="99" t="s">
        <v>83</v>
      </c>
      <c r="I42" s="99" t="s">
        <v>84</v>
      </c>
      <c r="J42" s="13" t="s">
        <v>381</v>
      </c>
      <c r="K42" s="12" t="s">
        <v>83</v>
      </c>
      <c r="L42" s="118" t="s">
        <v>389</v>
      </c>
      <c r="M42" s="29"/>
      <c r="N42" s="6" t="s">
        <v>518</v>
      </c>
      <c r="O42" s="6" t="s">
        <v>298</v>
      </c>
      <c r="P42" s="6" t="s">
        <v>519</v>
      </c>
      <c r="Q42" s="128"/>
      <c r="R42" s="12"/>
      <c r="S42" s="118" t="s">
        <v>34</v>
      </c>
      <c r="T42" s="12" t="s">
        <v>34</v>
      </c>
      <c r="U42" s="142" t="s">
        <v>409</v>
      </c>
      <c r="V42" s="12" t="s">
        <v>394</v>
      </c>
      <c r="W42" s="13"/>
      <c r="X42" s="13"/>
    </row>
    <row r="43" ht="99" spans="1:24">
      <c r="A43" s="94" t="s">
        <v>63</v>
      </c>
      <c r="B43" s="13"/>
      <c r="C43" s="29" t="s">
        <v>472</v>
      </c>
      <c r="D43" s="53" t="s">
        <v>301</v>
      </c>
      <c r="E43" s="13" t="s">
        <v>27</v>
      </c>
      <c r="F43" s="99"/>
      <c r="G43" s="80"/>
      <c r="H43" s="80" t="s">
        <v>83</v>
      </c>
      <c r="I43" s="99" t="s">
        <v>302</v>
      </c>
      <c r="J43" s="13" t="s">
        <v>331</v>
      </c>
      <c r="K43" s="12" t="s">
        <v>83</v>
      </c>
      <c r="L43" s="118" t="s">
        <v>389</v>
      </c>
      <c r="M43" s="118"/>
      <c r="N43" s="29" t="s">
        <v>520</v>
      </c>
      <c r="O43" s="6" t="s">
        <v>300</v>
      </c>
      <c r="P43" s="6" t="s">
        <v>521</v>
      </c>
      <c r="Q43" s="128" t="s">
        <v>522</v>
      </c>
      <c r="R43" s="128"/>
      <c r="S43" s="13" t="s">
        <v>56</v>
      </c>
      <c r="T43" s="118" t="s">
        <v>56</v>
      </c>
      <c r="U43" s="12" t="s">
        <v>409</v>
      </c>
      <c r="V43" s="152"/>
      <c r="W43" s="12"/>
      <c r="X43" s="13"/>
    </row>
    <row r="44" ht="99" spans="1:24">
      <c r="A44" s="94" t="s">
        <v>63</v>
      </c>
      <c r="B44" s="13"/>
      <c r="C44" s="29" t="s">
        <v>472</v>
      </c>
      <c r="D44" s="53" t="s">
        <v>303</v>
      </c>
      <c r="E44" s="13"/>
      <c r="F44" s="99"/>
      <c r="G44" s="80"/>
      <c r="H44" s="99" t="s">
        <v>47</v>
      </c>
      <c r="I44" s="99" t="s">
        <v>92</v>
      </c>
      <c r="J44" s="13" t="s">
        <v>374</v>
      </c>
      <c r="K44" s="12" t="s">
        <v>47</v>
      </c>
      <c r="L44" s="118" t="s">
        <v>396</v>
      </c>
      <c r="M44" s="29"/>
      <c r="N44" s="6" t="s">
        <v>523</v>
      </c>
      <c r="O44" s="6" t="s">
        <v>524</v>
      </c>
      <c r="P44" s="149" t="s">
        <v>525</v>
      </c>
      <c r="Q44" s="128" t="s">
        <v>526</v>
      </c>
      <c r="R44" s="13"/>
      <c r="S44" s="118"/>
      <c r="T44" s="12"/>
      <c r="U44" s="99"/>
      <c r="V44" s="12" t="s">
        <v>527</v>
      </c>
      <c r="W44" s="12" t="s">
        <v>528</v>
      </c>
      <c r="X44" s="13"/>
    </row>
    <row r="45" ht="99" spans="1:24">
      <c r="A45" s="80" t="s">
        <v>63</v>
      </c>
      <c r="B45" s="81" t="s">
        <v>60</v>
      </c>
      <c r="C45" s="146" t="s">
        <v>472</v>
      </c>
      <c r="D45" s="91" t="s">
        <v>304</v>
      </c>
      <c r="E45" s="89"/>
      <c r="F45" s="106"/>
      <c r="G45" s="60" t="s">
        <v>30</v>
      </c>
      <c r="H45" s="12" t="s">
        <v>109</v>
      </c>
      <c r="I45" s="12" t="s">
        <v>71</v>
      </c>
      <c r="J45" s="13" t="s">
        <v>331</v>
      </c>
      <c r="K45" s="12" t="s">
        <v>529</v>
      </c>
      <c r="L45" s="118" t="s">
        <v>333</v>
      </c>
      <c r="M45" s="29"/>
      <c r="N45" s="8" t="s">
        <v>530</v>
      </c>
      <c r="O45" s="128" t="s">
        <v>531</v>
      </c>
      <c r="P45" s="149" t="s">
        <v>532</v>
      </c>
      <c r="Q45" s="128" t="s">
        <v>533</v>
      </c>
      <c r="R45" s="13"/>
      <c r="S45" s="118" t="s">
        <v>56</v>
      </c>
      <c r="T45" s="118" t="s">
        <v>56</v>
      </c>
      <c r="U45" s="99" t="s">
        <v>350</v>
      </c>
      <c r="V45" s="12" t="s">
        <v>534</v>
      </c>
      <c r="W45" s="13"/>
      <c r="X45" s="13"/>
    </row>
    <row r="46" ht="33" spans="1:24">
      <c r="A46" s="93" t="s">
        <v>63</v>
      </c>
      <c r="B46" s="133"/>
      <c r="C46" s="146" t="s">
        <v>472</v>
      </c>
      <c r="D46" s="94" t="s">
        <v>308</v>
      </c>
      <c r="E46" s="133"/>
      <c r="F46" s="93"/>
      <c r="G46" s="93"/>
      <c r="H46" s="53" t="s">
        <v>129</v>
      </c>
      <c r="I46" s="53" t="s">
        <v>33</v>
      </c>
      <c r="J46" s="133" t="s">
        <v>339</v>
      </c>
      <c r="K46" s="144" t="s">
        <v>129</v>
      </c>
      <c r="L46" s="119" t="s">
        <v>416</v>
      </c>
      <c r="M46" s="144"/>
      <c r="N46" s="94" t="s">
        <v>535</v>
      </c>
      <c r="O46" s="145" t="s">
        <v>536</v>
      </c>
      <c r="P46" s="145" t="s">
        <v>537</v>
      </c>
      <c r="Q46" s="151"/>
      <c r="R46" s="133"/>
      <c r="S46" s="119" t="s">
        <v>56</v>
      </c>
      <c r="T46" s="144" t="s">
        <v>34</v>
      </c>
      <c r="U46" s="153" t="s">
        <v>409</v>
      </c>
      <c r="V46" s="144" t="s">
        <v>369</v>
      </c>
      <c r="W46" s="133"/>
      <c r="X46" s="133"/>
    </row>
    <row r="47" customFormat="1" ht="132" spans="1:24">
      <c r="A47" s="99" t="s">
        <v>63</v>
      </c>
      <c r="B47" s="99" t="s">
        <v>60</v>
      </c>
      <c r="C47" s="8" t="s">
        <v>472</v>
      </c>
      <c r="D47" s="8" t="s">
        <v>538</v>
      </c>
      <c r="E47" s="60" t="s">
        <v>43</v>
      </c>
      <c r="F47" s="80"/>
      <c r="G47" s="148"/>
      <c r="H47" s="99" t="s">
        <v>204</v>
      </c>
      <c r="I47" s="99" t="s">
        <v>84</v>
      </c>
      <c r="J47" s="13" t="s">
        <v>381</v>
      </c>
      <c r="K47" s="12" t="s">
        <v>204</v>
      </c>
      <c r="L47" s="118" t="s">
        <v>429</v>
      </c>
      <c r="M47" s="13"/>
      <c r="N47" s="6" t="s">
        <v>539</v>
      </c>
      <c r="O47" s="6" t="s">
        <v>540</v>
      </c>
      <c r="P47" s="6" t="s">
        <v>541</v>
      </c>
      <c r="Q47" s="13"/>
      <c r="R47" s="118"/>
      <c r="S47" s="119" t="s">
        <v>34</v>
      </c>
      <c r="T47" s="144" t="s">
        <v>34</v>
      </c>
      <c r="U47" s="153" t="s">
        <v>409</v>
      </c>
      <c r="V47" s="12" t="s">
        <v>542</v>
      </c>
      <c r="W47" s="12" t="s">
        <v>543</v>
      </c>
      <c r="X47" s="13"/>
    </row>
    <row r="48" customFormat="1" ht="49.5" spans="1:24">
      <c r="A48" s="99" t="s">
        <v>63</v>
      </c>
      <c r="B48" s="99" t="s">
        <v>60</v>
      </c>
      <c r="C48" s="8" t="s">
        <v>472</v>
      </c>
      <c r="D48" s="8" t="s">
        <v>544</v>
      </c>
      <c r="E48" s="60" t="s">
        <v>43</v>
      </c>
      <c r="F48" s="80"/>
      <c r="G48" s="148"/>
      <c r="H48" s="99" t="s">
        <v>204</v>
      </c>
      <c r="I48" s="99" t="s">
        <v>84</v>
      </c>
      <c r="J48" s="13" t="s">
        <v>381</v>
      </c>
      <c r="K48" s="12" t="s">
        <v>204</v>
      </c>
      <c r="L48" s="118" t="s">
        <v>545</v>
      </c>
      <c r="M48" s="13"/>
      <c r="N48" s="6" t="s">
        <v>546</v>
      </c>
      <c r="O48" s="6" t="s">
        <v>547</v>
      </c>
      <c r="P48" s="6" t="s">
        <v>548</v>
      </c>
      <c r="Q48" s="13"/>
      <c r="R48" s="118"/>
      <c r="S48" s="119" t="s">
        <v>34</v>
      </c>
      <c r="T48" s="144" t="s">
        <v>34</v>
      </c>
      <c r="U48" s="153" t="s">
        <v>409</v>
      </c>
      <c r="V48" s="12" t="s">
        <v>439</v>
      </c>
      <c r="W48" s="12" t="s">
        <v>543</v>
      </c>
      <c r="X48" s="13"/>
    </row>
    <row r="49" ht="99" spans="1:24">
      <c r="A49" s="99" t="s">
        <v>63</v>
      </c>
      <c r="B49" s="12"/>
      <c r="C49" s="6" t="s">
        <v>472</v>
      </c>
      <c r="D49" s="99" t="s">
        <v>549</v>
      </c>
      <c r="E49" s="99"/>
      <c r="F49" s="13"/>
      <c r="G49" s="80"/>
      <c r="H49" s="12"/>
      <c r="I49" s="12" t="s">
        <v>285</v>
      </c>
      <c r="J49" s="13" t="s">
        <v>492</v>
      </c>
      <c r="K49" s="12"/>
      <c r="L49" s="113"/>
      <c r="M49" s="12"/>
      <c r="N49" s="6" t="s">
        <v>550</v>
      </c>
      <c r="O49" s="6" t="s">
        <v>551</v>
      </c>
      <c r="P49" s="6" t="s">
        <v>552</v>
      </c>
      <c r="Q49" s="128" t="s">
        <v>553</v>
      </c>
      <c r="R49" s="12"/>
      <c r="S49" s="30" t="s">
        <v>34</v>
      </c>
      <c r="T49" s="12" t="s">
        <v>34</v>
      </c>
      <c r="U49" s="153" t="s">
        <v>409</v>
      </c>
      <c r="V49" s="12" t="s">
        <v>356</v>
      </c>
      <c r="W49" s="13"/>
      <c r="X49" s="13"/>
    </row>
    <row r="50" ht="99" spans="1:24">
      <c r="A50" s="99" t="s">
        <v>63</v>
      </c>
      <c r="B50" s="99" t="s">
        <v>60</v>
      </c>
      <c r="C50" s="6" t="s">
        <v>472</v>
      </c>
      <c r="D50" s="99" t="s">
        <v>554</v>
      </c>
      <c r="E50" s="99"/>
      <c r="F50" s="65"/>
      <c r="G50" s="80"/>
      <c r="H50" s="99" t="s">
        <v>284</v>
      </c>
      <c r="I50" s="12" t="s">
        <v>285</v>
      </c>
      <c r="J50" s="13" t="s">
        <v>492</v>
      </c>
      <c r="K50" s="12" t="s">
        <v>284</v>
      </c>
      <c r="L50" s="118" t="s">
        <v>333</v>
      </c>
      <c r="M50" s="12"/>
      <c r="N50" s="6" t="s">
        <v>555</v>
      </c>
      <c r="O50" s="29" t="s">
        <v>556</v>
      </c>
      <c r="P50" s="6" t="s">
        <v>557</v>
      </c>
      <c r="Q50" s="128" t="s">
        <v>558</v>
      </c>
      <c r="R50" s="13"/>
      <c r="S50" s="30" t="s">
        <v>34</v>
      </c>
      <c r="T50" s="12" t="s">
        <v>34</v>
      </c>
      <c r="U50" s="99" t="s">
        <v>559</v>
      </c>
      <c r="V50" s="12" t="s">
        <v>560</v>
      </c>
      <c r="W50" s="12" t="s">
        <v>561</v>
      </c>
      <c r="X50" s="13"/>
    </row>
    <row r="51" ht="99" spans="1:24">
      <c r="A51" s="99" t="s">
        <v>63</v>
      </c>
      <c r="B51" s="99" t="s">
        <v>60</v>
      </c>
      <c r="C51" s="6" t="s">
        <v>472</v>
      </c>
      <c r="D51" s="99" t="s">
        <v>562</v>
      </c>
      <c r="E51" s="99"/>
      <c r="F51" s="65"/>
      <c r="G51" s="80"/>
      <c r="H51" s="99" t="s">
        <v>284</v>
      </c>
      <c r="I51" s="12" t="s">
        <v>285</v>
      </c>
      <c r="J51" s="13" t="s">
        <v>492</v>
      </c>
      <c r="K51" s="12" t="s">
        <v>284</v>
      </c>
      <c r="L51" s="116" t="s">
        <v>357</v>
      </c>
      <c r="M51" s="13"/>
      <c r="N51" s="6" t="s">
        <v>563</v>
      </c>
      <c r="O51" s="6" t="s">
        <v>564</v>
      </c>
      <c r="P51" s="6" t="s">
        <v>565</v>
      </c>
      <c r="Q51" s="128" t="s">
        <v>566</v>
      </c>
      <c r="R51" s="13"/>
      <c r="S51" s="30" t="s">
        <v>34</v>
      </c>
      <c r="T51" s="12" t="s">
        <v>34</v>
      </c>
      <c r="U51" s="153" t="s">
        <v>409</v>
      </c>
      <c r="V51" s="39" t="s">
        <v>567</v>
      </c>
      <c r="W51" s="12"/>
      <c r="X51" s="13"/>
    </row>
    <row r="52" ht="99" spans="1:24">
      <c r="A52" s="99" t="s">
        <v>63</v>
      </c>
      <c r="B52" s="99" t="s">
        <v>60</v>
      </c>
      <c r="C52" s="6" t="s">
        <v>472</v>
      </c>
      <c r="D52" s="8" t="s">
        <v>568</v>
      </c>
      <c r="E52" s="8"/>
      <c r="F52" s="60"/>
      <c r="G52" s="80"/>
      <c r="H52" s="12"/>
      <c r="I52" s="12" t="s">
        <v>285</v>
      </c>
      <c r="J52" s="13" t="s">
        <v>492</v>
      </c>
      <c r="K52" s="12"/>
      <c r="L52" s="118"/>
      <c r="M52" s="13"/>
      <c r="N52" s="6" t="s">
        <v>569</v>
      </c>
      <c r="O52" s="6" t="s">
        <v>570</v>
      </c>
      <c r="P52" s="6" t="s">
        <v>571</v>
      </c>
      <c r="Q52" s="128" t="s">
        <v>572</v>
      </c>
      <c r="R52" s="13"/>
      <c r="S52" s="30" t="s">
        <v>34</v>
      </c>
      <c r="T52" s="12" t="s">
        <v>34</v>
      </c>
      <c r="U52" s="153" t="s">
        <v>409</v>
      </c>
      <c r="V52" s="12" t="s">
        <v>291</v>
      </c>
      <c r="W52" s="13"/>
      <c r="X52" s="13"/>
    </row>
    <row r="53" ht="33" spans="1:24">
      <c r="A53" s="99" t="s">
        <v>63</v>
      </c>
      <c r="B53" s="99" t="s">
        <v>60</v>
      </c>
      <c r="C53" s="6" t="s">
        <v>472</v>
      </c>
      <c r="D53" s="8" t="s">
        <v>573</v>
      </c>
      <c r="E53" s="8"/>
      <c r="F53" s="60"/>
      <c r="G53" s="80"/>
      <c r="H53" s="12" t="s">
        <v>55</v>
      </c>
      <c r="I53" s="12" t="s">
        <v>55</v>
      </c>
      <c r="J53" s="13" t="s">
        <v>370</v>
      </c>
      <c r="K53" s="144" t="s">
        <v>129</v>
      </c>
      <c r="L53" s="118" t="s">
        <v>333</v>
      </c>
      <c r="M53" s="13"/>
      <c r="N53" s="6" t="s">
        <v>574</v>
      </c>
      <c r="O53" s="6" t="s">
        <v>575</v>
      </c>
      <c r="P53" s="6" t="s">
        <v>576</v>
      </c>
      <c r="Q53" s="113"/>
      <c r="R53" s="13"/>
      <c r="S53" s="118" t="s">
        <v>56</v>
      </c>
      <c r="T53" s="12" t="s">
        <v>56</v>
      </c>
      <c r="U53" s="153" t="s">
        <v>409</v>
      </c>
      <c r="V53" s="12" t="s">
        <v>307</v>
      </c>
      <c r="W53" s="13"/>
      <c r="X53" s="13"/>
    </row>
    <row r="54" ht="33" spans="1:24">
      <c r="A54" s="53" t="s">
        <v>23</v>
      </c>
      <c r="B54" s="99" t="s">
        <v>60</v>
      </c>
      <c r="C54" s="6" t="s">
        <v>472</v>
      </c>
      <c r="D54" s="8" t="s">
        <v>577</v>
      </c>
      <c r="E54" s="8"/>
      <c r="F54" s="60"/>
      <c r="G54" s="80"/>
      <c r="H54" s="12" t="s">
        <v>70</v>
      </c>
      <c r="I54" s="12" t="s">
        <v>71</v>
      </c>
      <c r="J54" s="13" t="s">
        <v>331</v>
      </c>
      <c r="K54" s="12" t="s">
        <v>109</v>
      </c>
      <c r="L54" s="118" t="s">
        <v>333</v>
      </c>
      <c r="M54" s="13"/>
      <c r="N54" s="6" t="s">
        <v>578</v>
      </c>
      <c r="O54" s="113"/>
      <c r="P54" s="113"/>
      <c r="Q54" s="113"/>
      <c r="R54" s="13"/>
      <c r="S54" s="118"/>
      <c r="T54" s="13"/>
      <c r="U54" s="80"/>
      <c r="V54" s="12" t="s">
        <v>579</v>
      </c>
      <c r="W54" s="13"/>
      <c r="X54" s="13"/>
    </row>
    <row r="55" ht="49.5" spans="1:24">
      <c r="A55" s="60" t="s">
        <v>23</v>
      </c>
      <c r="B55" s="99" t="s">
        <v>60</v>
      </c>
      <c r="C55" s="128" t="s">
        <v>580</v>
      </c>
      <c r="D55" s="8" t="s">
        <v>581</v>
      </c>
      <c r="E55" s="8"/>
      <c r="F55" s="60"/>
      <c r="G55" s="80"/>
      <c r="H55" s="12" t="s">
        <v>129</v>
      </c>
      <c r="I55" s="12" t="s">
        <v>55</v>
      </c>
      <c r="J55" s="13" t="s">
        <v>370</v>
      </c>
      <c r="K55" s="12" t="s">
        <v>129</v>
      </c>
      <c r="L55" s="118" t="s">
        <v>416</v>
      </c>
      <c r="M55" s="13"/>
      <c r="N55" s="6" t="s">
        <v>582</v>
      </c>
      <c r="O55" s="6" t="s">
        <v>583</v>
      </c>
      <c r="P55" s="6" t="s">
        <v>584</v>
      </c>
      <c r="Q55" s="113"/>
      <c r="R55" s="13"/>
      <c r="S55" s="118" t="s">
        <v>56</v>
      </c>
      <c r="T55" s="12" t="s">
        <v>34</v>
      </c>
      <c r="U55" s="142" t="s">
        <v>409</v>
      </c>
      <c r="V55" s="12" t="s">
        <v>307</v>
      </c>
      <c r="W55" s="13"/>
      <c r="X55" s="13"/>
    </row>
    <row r="76" spans="14:14">
      <c r="N76" s="39" t="s">
        <v>585</v>
      </c>
    </row>
  </sheetData>
  <sheetProtection formatCells="0" insertHyperlinks="0" autoFilter="0"/>
  <autoFilter xmlns:etc="http://www.wps.cn/officeDocument/2017/etCustomData" ref="A2:X76" etc:filterBottomFollowUsedRange="1">
    <extLst/>
  </autoFilter>
  <mergeCells count="64">
    <mergeCell ref="A1:I1"/>
    <mergeCell ref="J1:U1"/>
    <mergeCell ref="V1:X1"/>
    <mergeCell ref="A3:A9"/>
    <mergeCell ref="A10:A11"/>
    <mergeCell ref="A14:A15"/>
    <mergeCell ref="A22:A23"/>
    <mergeCell ref="A24:A26"/>
    <mergeCell ref="A29:A30"/>
    <mergeCell ref="A36:A38"/>
    <mergeCell ref="B3:B9"/>
    <mergeCell ref="B10:B11"/>
    <mergeCell ref="B14:B15"/>
    <mergeCell ref="B22:B23"/>
    <mergeCell ref="B24:B26"/>
    <mergeCell ref="B29:B30"/>
    <mergeCell ref="B36:B38"/>
    <mergeCell ref="C3:C9"/>
    <mergeCell ref="C10:C11"/>
    <mergeCell ref="C14:C15"/>
    <mergeCell ref="C22:C23"/>
    <mergeCell ref="C24:C26"/>
    <mergeCell ref="C29:C30"/>
    <mergeCell ref="C36:C38"/>
    <mergeCell ref="D3:D9"/>
    <mergeCell ref="D10:D11"/>
    <mergeCell ref="D14:D15"/>
    <mergeCell ref="D22:D23"/>
    <mergeCell ref="D24:D26"/>
    <mergeCell ref="D29:D30"/>
    <mergeCell ref="E3:E9"/>
    <mergeCell ref="E10:E11"/>
    <mergeCell ref="E14:E15"/>
    <mergeCell ref="E22:E23"/>
    <mergeCell ref="E24:E26"/>
    <mergeCell ref="E29:E30"/>
    <mergeCell ref="F3:F9"/>
    <mergeCell ref="F10:F11"/>
    <mergeCell ref="F14:F15"/>
    <mergeCell ref="F22:F23"/>
    <mergeCell ref="F24:F26"/>
    <mergeCell ref="F29:F30"/>
    <mergeCell ref="G3:G9"/>
    <mergeCell ref="G10:G11"/>
    <mergeCell ref="G14:G15"/>
    <mergeCell ref="G22:G23"/>
    <mergeCell ref="G24:G26"/>
    <mergeCell ref="G29:G30"/>
    <mergeCell ref="G31:G32"/>
    <mergeCell ref="H3:H9"/>
    <mergeCell ref="H10:H11"/>
    <mergeCell ref="H14:H15"/>
    <mergeCell ref="H22:H23"/>
    <mergeCell ref="H24:H26"/>
    <mergeCell ref="H29:H30"/>
    <mergeCell ref="H36:H38"/>
    <mergeCell ref="I3:I9"/>
    <mergeCell ref="I10:I11"/>
    <mergeCell ref="I14:I15"/>
    <mergeCell ref="I22:I23"/>
    <mergeCell ref="I24:I26"/>
    <mergeCell ref="I29:I30"/>
    <mergeCell ref="I36:I38"/>
    <mergeCell ref="Q24:Q26"/>
  </mergeCells>
  <dataValidations count="4">
    <dataValidation type="list" allowBlank="1" showErrorMessage="1" errorTitle="错误提示" error="请输入下拉列表中的值" sqref="T43 T45 S2:S25 S27:S28 S32:S42 S44:S1048576 T29:T31">
      <formula1>"是,否"</formula1>
    </dataValidation>
    <dataValidation type="list" allowBlank="1" showErrorMessage="1" errorTitle="错误提示" error="请输入下拉列表中的值" id="{a24475e9-2440-487d-8b60-bcce40f9da1c}" sqref="L3:L55 M47:M48" errorStyle="information">
      <formula1>"交易员工作站,风险管理工作站,场外运营端（web）,场外对客Web端,展业工作站（web）,投顾平台（web）,Headsbos,场外量化终端,LAMP,RDS,无,待定"</formula1>
    </dataValidation>
    <dataValidation type="list" allowBlank="1" showErrorMessage="1" errorTitle="错误提示" error="请输入下拉列表中的值" id="{5543fad6-de82-49ba-b44f-49595aefac6e}" sqref="J3:J55" errorStyle="information">
      <formula1>"策略平台,估值及风险计量,交易,客需/交易后,平台,数据服务"</formula1>
    </dataValidation>
    <dataValidation type="list" allowBlank="1" showErrorMessage="1" errorTitle="错误提示" error="请输入下拉列表中的值" sqref="M43" errorStyle="information">
      <formula1>"交易员工作站,风险管理工作站,场外运营端（web）,场外对客Web端,展业工作站（web）,投顾平台（web）,Headsbos,场外量化终端,LAMP,RDS,无,待定"</formula1>
    </dataValidation>
  </dataValidations>
  <hyperlinks>
    <hyperlink ref="C3" r:id="rId1" display="FICCHEADS-1180" tooltip="http://jira.htzq.htsc.com.cn/browse/FICCHEADS-1180"/>
    <hyperlink ref="C10" r:id="rId2" display="FICCHEADS-1167" tooltip="http://jira.htzq.htsc.com.cn/browse/FICCHEADS-1167"/>
    <hyperlink ref="C12" r:id="rId3" display="FICCHEADS-1097" tooltip="http://jira.htzq.htsc.com.cn/browse/FICCHEADS-1097"/>
    <hyperlink ref="C13" r:id="rId4" display="FICCHEADS-1082" tooltip="http://jira.htzq.htsc.com.cn/browse/FICCHEADS-1082"/>
    <hyperlink ref="C14" r:id="rId5" display="FICCHEADS-1136" tooltip="http://jira.htzq.htsc.com.cn/browse/FICCHEADS-1136"/>
    <hyperlink ref="C16" r:id="rId6" display="FICCHEADS-1000" tooltip="http://jira.htzq.htsc.com.cn/browse/FICCHEADS-1000"/>
    <hyperlink ref="C17" r:id="rId7" display="FICCHEADS-1168" tooltip="http://jira.htzq.htsc.com.cn/browse/FICCHEADS-1168"/>
    <hyperlink ref="C18" r:id="rId8" display="FICCHEADS-1171" tooltip="http://jira.htzq.htsc.com.cn/browse/FICCHEADS-1171"/>
    <hyperlink ref="C19" r:id="rId9" display="FICCHEADS-1147" tooltip="http://jira.htzq.htsc.com.cn/browse/FICCHEADS-1147"/>
    <hyperlink ref="C20" r:id="rId10" display="FICCHEADS-1099" tooltip="http://jira.htzq.htsc.com.cn/browse/FICCHEADS-1099"/>
    <hyperlink ref="C21" r:id="rId11" display="FICCHEADS-1148" tooltip="http://jira.htzq.htsc.com.cn/browse/FICCHEADS-1148"/>
    <hyperlink ref="C22" r:id="rId12" display="FICCHEADS-1124" tooltip="http://jira.htzq.htsc.com.cn/browse/FICCHEADS-1124"/>
    <hyperlink ref="C27" r:id="rId13" display="FICCHEADS-1127" tooltip="http://jira.htzq.htsc.com.cn/browse/FICCHEADS-1127"/>
    <hyperlink ref="C28" r:id="rId14" display="FICCHEADS-812" tooltip="http://jira.htzq.htsc.com.cn/browse/FICCHEADS-812"/>
    <hyperlink ref="C29" r:id="rId15" display="IT需求申请央20251028572539"/>
    <hyperlink ref="C31" r:id="rId16" display="FICCREQ-433"/>
    <hyperlink ref="C24" r:id="rId17" display="FICCHEADS-873"/>
    <hyperlink ref="Q3" r:id="rId18" display="http://wiki.htzq.htsc.com.cn/pages/viewpage.action?pageId=441264337" tooltip="http://wiki.htzq.htsc.com.cn/pages/viewpage.action?pageId=441264337"/>
    <hyperlink ref="Q17" r:id="rId19" display="http://wiki.htzq.htsc.com.cn/pages/viewpage.action?pageId=410373490"/>
    <hyperlink ref="Q13" r:id="rId20" display="http://wiki.htzq.htsc.com.cn/pages/viewpage.action?pageId=444859437"/>
    <hyperlink ref="Q20" r:id="rId21" display="http://wiki.htzq.htsc.com.cn/pages/viewpage.action?pageId=448024248"/>
    <hyperlink ref="Q21" r:id="rId22" display="http://wiki.htzq.htsc.com.cn/pages/viewpage.action?pageId=447354129"/>
    <hyperlink ref="Q43" r:id="rId23" display="http://wiki.htzq.htsc.com.cn/pages/viewpage.action?pageId=427262712" tooltip="http://wiki.htzq.htsc.com.cn/pages/viewpage.action?pageId=427262712"/>
    <hyperlink ref="Q4" r:id="rId24" display="http://wiki.htzq.htsc.com.cn/pages/viewpage.action?pageId=441908779" tooltip="http://wiki.htzq.htsc.com.cn/pages/viewpage.action?pageId=441908779"/>
    <hyperlink ref="Q5" r:id="rId25" display="http://wiki.htzq.htsc.com.cn/pages/viewpage.action?pageId=432902954" tooltip="http://wiki.htzq.htsc.com.cn/pages/viewpage.action?pageId=432902954"/>
    <hyperlink ref="Q35" r:id="rId26" display="http://wiki.htzq.htsc.com.cn/pages/viewpage.action?pageId=447356590" tooltip="http://wiki.htzq.htsc.com.cn/pages/viewpage.action?pageId=447356590"/>
    <hyperlink ref="Q32" r:id="rId27" display="http://wiki.htzq.htsc.com.cn/pages/viewpage.action?pageId=446812564" tooltip="http://wiki.htzq.htsc.com.cn/pages/viewpage.action?pageId=446812564"/>
    <hyperlink ref="Q22" r:id="rId28" display="http://wiki.htzq.htsc.com.cn/pages/viewpage.action?pageId=437466519"/>
    <hyperlink ref="Q11" r:id="rId29" display="http://wiki.htzq.htsc.com.cn/pages/viewpage.action?pageId=424315538"/>
    <hyperlink ref="Q10" r:id="rId30" display="http://wiki.htzq.htsc.com.cn/pages/viewpage.action?pageId=428005425"/>
    <hyperlink ref="Q14" r:id="rId31" display="http://wiki.htzq.htsc.com.cn/pages/viewpage.action?pageId=391885489"/>
    <hyperlink ref="Q15" r:id="rId31" display="http://wiki.htzq.htsc.com.cn/pages/viewpage.action?pageId=391885489"/>
    <hyperlink ref="Q44" r:id="rId32" display="http://wiki.htzq.htsc.com.cn/pages/viewpage.action?pageId=449443916"/>
    <hyperlink ref="O10" r:id="rId33" display="FICC-90910" tooltip="http://jira.htzq.htsc.com.cn/browse/FICC-90910"/>
    <hyperlink ref="O15" r:id="rId34" display="FICC-90911" tooltip="http://jira.htzq.htsc.com.cn/browse/FICC-90911"/>
    <hyperlink ref="O14" r:id="rId35" display="FICC-90914" tooltip="http://jira.htzq.htsc.com.cn/browse/FICC-90914"/>
    <hyperlink ref="O28" r:id="rId36" display="FICC-90919" tooltip="http://jira.htzq.htsc.com.cn/browse/FICC-90919"/>
    <hyperlink ref="O36" r:id="rId37" display="FICC-90916" tooltip="http://jira.htzq.htsc.com.cn/browse/FICC-90916"/>
    <hyperlink ref="Q36" r:id="rId38" display="http://wiki.htzq.htsc.com.cn/pages/viewpage.action?pageId=446814764"/>
    <hyperlink ref="Q7" r:id="rId39" display="http://wiki.htzq.htsc.com.cn/pages/viewpage.action?pageId=433608354" tooltip="http://wiki.htzq.htsc.com.cn/pages/viewpage.action?pageId=433608354"/>
    <hyperlink ref="Q38" r:id="rId38" display="http://wiki.htzq.htsc.com.cn/pages/viewpage.action?pageId=446814764"/>
    <hyperlink ref="Q50" r:id="rId40" display="http://wiki.htzq.htsc.com.cn/pages/viewpage.action?pageId=436926902" tooltip="http://wiki.htzq.htsc.com.cn/pages/viewpage.action?pageId=436926902"/>
    <hyperlink ref="Q51" r:id="rId41" display="http://wiki.htzq.htsc.com.cn/pages/viewpage.action?pageId=361829988"/>
    <hyperlink ref="Q37" r:id="rId38" display="http://wiki.htzq.htsc.com.cn/pages/viewpage.action?pageId=446814764"/>
    <hyperlink ref="Q49" r:id="rId42" display="http://wiki.htzq.htsc.com.cn/pages/viewpage.action?pageId=425531643" tooltip="http://wiki.htzq.htsc.com.cn/pages/viewpage.action?pageId=425531643"/>
    <hyperlink ref="Q29" r:id="rId43" display="http://wiki.htzq.htsc.com.cn/x/3neEGg" tooltip="http://wiki.htzq.htsc.com.cn/x/3neEGg"/>
    <hyperlink ref="Q30" r:id="rId43" display="http://wiki.htzq.htsc.com.cn/x/3neEGg" tooltip="http://wiki.htzq.htsc.com.cn/x/3neEGg"/>
    <hyperlink ref="Q31" r:id="rId44" display="http://wiki.htzq.htsc.com.cn/x/F5R7Gg"/>
    <hyperlink ref="Q40" r:id="rId45" display="https://linkapp.htsc.com.cn/S/00C1xY" tooltip="https://linkapp.htsc.com.cn/S/00C1xY"/>
    <hyperlink ref="Q39" r:id="rId46" display="http://wiki.htzq.htsc.com.cn/x/woUGGQ" tooltip="http://wiki.htzq.htsc.com.cn/x/woUGGQ"/>
    <hyperlink ref="Q52" r:id="rId47" display="http://wiki.htzq.htsc.com.cn/pages/viewpage.action?pageId=387150421"/>
    <hyperlink ref="Q8" r:id="rId48" display="http://wiki.htzq.htsc.com.cn/pages/viewpage.action?pageId=428499495"/>
    <hyperlink ref="Q45" r:id="rId49" display="http://wiki.htzq.htsc.com.cn/pages/viewpage.action?pageId=449428742"/>
    <hyperlink ref="O44" r:id="rId50" display="FICC-91043" tooltip="http://jira.htzq.htsc.com.cn/browse/FICC-91043"/>
    <hyperlink ref="Q6" r:id="rId51" display="http://wiki.htzq.htsc.com.cn/pages/viewpage.action?pageId=424337370"/>
    <hyperlink ref="Q24" r:id="rId52" display="http://wiki.htzq.htsc.com.cn/pages/viewpage.action?pageId=450101163" tooltip="http://wiki.htzq.htsc.com.cn/pages/viewpage.action?pageId=450101163"/>
    <hyperlink ref="Q34" r:id="rId53" display="http://wiki.htzq.htsc.com.cn/pages/viewpage.action?pageId=452350299"/>
    <hyperlink ref="C55" r:id="rId54" display="http://168.61.113.232:8080/browse/FICCHEADS-1114"/>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tabSelected="1" workbookViewId="0">
      <pane xSplit="3" ySplit="3" topLeftCell="D27" activePane="bottomRight" state="frozen"/>
      <selection/>
      <selection pane="topRight"/>
      <selection pane="bottomLeft"/>
      <selection pane="bottomRight" activeCell="C31" sqref="C31:I31"/>
    </sheetView>
  </sheetViews>
  <sheetFormatPr defaultColWidth="9" defaultRowHeight="13.5"/>
  <cols>
    <col min="1" max="1" width="19.25" style="25" customWidth="1"/>
    <col min="2" max="2" width="16.375" customWidth="1"/>
    <col min="3" max="3" width="20" customWidth="1"/>
    <col min="4" max="4" width="19.375" customWidth="1"/>
    <col min="5" max="5" width="58.625" customWidth="1"/>
    <col min="6" max="6" width="63.5" customWidth="1"/>
    <col min="8" max="9" width="13.5" customWidth="1"/>
    <col min="10" max="11" width="15.125" hidden="1" customWidth="1"/>
    <col min="12" max="14" width="14" hidden="1" customWidth="1"/>
    <col min="15" max="16" width="9" hidden="1" customWidth="1"/>
  </cols>
  <sheetData>
    <row r="1" ht="18" spans="1:14">
      <c r="A1" s="26" t="s">
        <v>586</v>
      </c>
      <c r="B1" s="26"/>
      <c r="C1" s="26"/>
      <c r="D1" s="26"/>
      <c r="E1" s="26"/>
      <c r="F1" s="26"/>
      <c r="G1" s="26"/>
      <c r="H1" s="26"/>
      <c r="I1" s="26"/>
      <c r="J1" s="26"/>
      <c r="K1" s="26"/>
      <c r="L1" s="26"/>
      <c r="M1" s="26"/>
      <c r="N1" s="26"/>
    </row>
    <row r="2" ht="17.25" spans="1:14">
      <c r="A2" s="27" t="s">
        <v>587</v>
      </c>
      <c r="B2" s="27"/>
      <c r="C2" s="27"/>
      <c r="D2" s="27"/>
      <c r="E2" s="27"/>
      <c r="F2" s="27"/>
      <c r="G2" s="27"/>
      <c r="H2" s="27"/>
      <c r="I2" s="33"/>
      <c r="J2" s="34" t="s">
        <v>588</v>
      </c>
      <c r="K2" s="35"/>
      <c r="L2" s="35"/>
      <c r="M2" s="35"/>
      <c r="N2" s="43"/>
    </row>
    <row r="3" ht="36" spans="1:14">
      <c r="A3" s="28" t="s">
        <v>589</v>
      </c>
      <c r="B3" s="28" t="s">
        <v>590</v>
      </c>
      <c r="C3" s="28" t="s">
        <v>591</v>
      </c>
      <c r="D3" s="28" t="s">
        <v>592</v>
      </c>
      <c r="E3" s="28" t="s">
        <v>593</v>
      </c>
      <c r="F3" s="28" t="s">
        <v>594</v>
      </c>
      <c r="G3" s="28" t="s">
        <v>595</v>
      </c>
      <c r="H3" s="28" t="s">
        <v>596</v>
      </c>
      <c r="I3" s="28" t="s">
        <v>597</v>
      </c>
      <c r="J3" s="36" t="s">
        <v>598</v>
      </c>
      <c r="K3" s="36" t="s">
        <v>599</v>
      </c>
      <c r="L3" s="37" t="s">
        <v>600</v>
      </c>
      <c r="M3" s="37" t="s">
        <v>601</v>
      </c>
      <c r="N3" s="37" t="s">
        <v>602</v>
      </c>
    </row>
    <row r="4" ht="21.75" customHeight="1" spans="1:16">
      <c r="A4" s="29" t="s">
        <v>603</v>
      </c>
      <c r="B4" s="12" t="s">
        <v>604</v>
      </c>
      <c r="C4" s="30" t="s">
        <v>239</v>
      </c>
      <c r="D4" s="30" t="s">
        <v>458</v>
      </c>
      <c r="E4" s="30" t="s">
        <v>605</v>
      </c>
      <c r="F4" s="30" t="s">
        <v>606</v>
      </c>
      <c r="G4" s="13" t="s">
        <v>47</v>
      </c>
      <c r="H4" s="12" t="s">
        <v>607</v>
      </c>
      <c r="I4" s="12" t="s">
        <v>56</v>
      </c>
      <c r="J4" s="13"/>
      <c r="K4" s="13"/>
      <c r="L4" s="12"/>
      <c r="M4" s="12"/>
      <c r="N4" s="12"/>
      <c r="O4" s="42"/>
      <c r="P4" s="42"/>
    </row>
    <row r="5" ht="66" spans="1:16">
      <c r="A5" s="29" t="s">
        <v>608</v>
      </c>
      <c r="B5" s="12" t="s">
        <v>81</v>
      </c>
      <c r="C5" s="30" t="s">
        <v>197</v>
      </c>
      <c r="D5" s="30" t="s">
        <v>430</v>
      </c>
      <c r="E5" s="30" t="s">
        <v>198</v>
      </c>
      <c r="F5" s="29" t="s">
        <v>205</v>
      </c>
      <c r="G5" s="13" t="s">
        <v>204</v>
      </c>
      <c r="H5" s="12" t="s">
        <v>607</v>
      </c>
      <c r="I5" s="12" t="s">
        <v>34</v>
      </c>
      <c r="J5" s="13"/>
      <c r="K5" s="13"/>
      <c r="L5" s="12"/>
      <c r="M5" s="12"/>
      <c r="N5" s="12"/>
      <c r="O5" s="42"/>
      <c r="P5" s="42"/>
    </row>
    <row r="6" ht="16.5" spans="1:16">
      <c r="A6" s="29" t="s">
        <v>603</v>
      </c>
      <c r="B6" s="12" t="s">
        <v>604</v>
      </c>
      <c r="C6" s="30" t="s">
        <v>87</v>
      </c>
      <c r="D6" s="30" t="s">
        <v>404</v>
      </c>
      <c r="E6" s="30" t="s">
        <v>397</v>
      </c>
      <c r="F6" s="30" t="s">
        <v>609</v>
      </c>
      <c r="G6" s="13" t="s">
        <v>47</v>
      </c>
      <c r="H6" s="12" t="s">
        <v>607</v>
      </c>
      <c r="I6" s="12" t="s">
        <v>56</v>
      </c>
      <c r="J6" s="13"/>
      <c r="K6" s="13"/>
      <c r="L6" s="12"/>
      <c r="M6" s="12"/>
      <c r="N6" s="12"/>
      <c r="O6" s="42"/>
      <c r="P6" s="42"/>
    </row>
    <row r="7" ht="16.5" spans="1:16">
      <c r="A7" s="29" t="s">
        <v>610</v>
      </c>
      <c r="B7" s="12" t="s">
        <v>81</v>
      </c>
      <c r="C7" s="30" t="s">
        <v>96</v>
      </c>
      <c r="D7" s="30" t="s">
        <v>407</v>
      </c>
      <c r="E7" s="30" t="s">
        <v>611</v>
      </c>
      <c r="F7" s="30" t="s">
        <v>612</v>
      </c>
      <c r="G7" s="13" t="s">
        <v>83</v>
      </c>
      <c r="H7" s="12" t="s">
        <v>607</v>
      </c>
      <c r="I7" s="12" t="s">
        <v>34</v>
      </c>
      <c r="J7" s="13"/>
      <c r="K7" s="13"/>
      <c r="L7" s="12"/>
      <c r="M7" s="12"/>
      <c r="N7" s="12"/>
      <c r="O7" s="42"/>
      <c r="P7" s="42"/>
    </row>
    <row r="8" ht="115.5" spans="1:16">
      <c r="A8" s="29" t="s">
        <v>613</v>
      </c>
      <c r="B8" s="13" t="s">
        <v>505</v>
      </c>
      <c r="C8" s="30" t="s">
        <v>472</v>
      </c>
      <c r="D8" s="30" t="s">
        <v>507</v>
      </c>
      <c r="E8" s="30" t="s">
        <v>614</v>
      </c>
      <c r="F8" s="29" t="s">
        <v>615</v>
      </c>
      <c r="G8" s="13" t="s">
        <v>174</v>
      </c>
      <c r="H8" s="12" t="s">
        <v>607</v>
      </c>
      <c r="I8" s="12" t="s">
        <v>34</v>
      </c>
      <c r="J8" s="13"/>
      <c r="K8" s="13"/>
      <c r="L8" s="12"/>
      <c r="M8" s="12"/>
      <c r="N8" s="12"/>
      <c r="O8" s="42"/>
      <c r="P8" s="42"/>
    </row>
    <row r="9" ht="99" spans="1:16">
      <c r="A9" s="29" t="s">
        <v>616</v>
      </c>
      <c r="B9" s="12" t="s">
        <v>617</v>
      </c>
      <c r="C9" s="30" t="s">
        <v>472</v>
      </c>
      <c r="D9" s="30" t="s">
        <v>494</v>
      </c>
      <c r="E9" s="30" t="s">
        <v>618</v>
      </c>
      <c r="F9" s="29" t="s">
        <v>619</v>
      </c>
      <c r="G9" s="13" t="s">
        <v>284</v>
      </c>
      <c r="H9" s="12" t="s">
        <v>607</v>
      </c>
      <c r="I9" s="12" t="s">
        <v>34</v>
      </c>
      <c r="J9" s="13"/>
      <c r="K9" s="13"/>
      <c r="L9" s="13"/>
      <c r="M9" s="13"/>
      <c r="N9" s="13"/>
      <c r="O9" s="42"/>
      <c r="P9" s="42"/>
    </row>
    <row r="10" ht="99" spans="1:16">
      <c r="A10" s="29" t="s">
        <v>608</v>
      </c>
      <c r="B10" s="12" t="s">
        <v>81</v>
      </c>
      <c r="C10" s="30" t="s">
        <v>472</v>
      </c>
      <c r="D10" s="30" t="s">
        <v>540</v>
      </c>
      <c r="E10" s="30" t="s">
        <v>538</v>
      </c>
      <c r="F10" s="29" t="s">
        <v>539</v>
      </c>
      <c r="G10" s="13" t="s">
        <v>204</v>
      </c>
      <c r="H10" s="12" t="s">
        <v>607</v>
      </c>
      <c r="I10" s="12" t="s">
        <v>34</v>
      </c>
      <c r="J10" s="13"/>
      <c r="K10" s="13"/>
      <c r="L10" s="13"/>
      <c r="M10" s="13"/>
      <c r="N10" s="13"/>
      <c r="O10" s="42"/>
      <c r="P10" s="42"/>
    </row>
    <row r="11" ht="33" spans="1:16">
      <c r="A11" s="29" t="s">
        <v>608</v>
      </c>
      <c r="B11" s="12" t="s">
        <v>81</v>
      </c>
      <c r="C11" s="30" t="s">
        <v>472</v>
      </c>
      <c r="D11" s="30" t="s">
        <v>547</v>
      </c>
      <c r="E11" s="30" t="s">
        <v>544</v>
      </c>
      <c r="F11" s="29" t="s">
        <v>620</v>
      </c>
      <c r="G11" s="13" t="s">
        <v>204</v>
      </c>
      <c r="H11" s="12" t="s">
        <v>607</v>
      </c>
      <c r="I11" s="12" t="s">
        <v>34</v>
      </c>
      <c r="J11" s="38"/>
      <c r="K11" s="13"/>
      <c r="L11" s="13"/>
      <c r="M11" s="13"/>
      <c r="N11" s="13"/>
      <c r="O11" s="42"/>
      <c r="P11" s="42"/>
    </row>
    <row r="12" ht="16.5" spans="1:16">
      <c r="A12" s="29" t="s">
        <v>610</v>
      </c>
      <c r="B12" s="12" t="s">
        <v>81</v>
      </c>
      <c r="C12" s="30" t="s">
        <v>472</v>
      </c>
      <c r="D12" s="30" t="s">
        <v>298</v>
      </c>
      <c r="E12" s="30" t="s">
        <v>299</v>
      </c>
      <c r="F12" s="30" t="s">
        <v>518</v>
      </c>
      <c r="G12" s="13" t="s">
        <v>83</v>
      </c>
      <c r="H12" s="12" t="s">
        <v>607</v>
      </c>
      <c r="I12" s="12" t="s">
        <v>34</v>
      </c>
      <c r="J12" s="38"/>
      <c r="K12" s="13"/>
      <c r="L12" s="12"/>
      <c r="M12" s="12"/>
      <c r="N12" s="12"/>
      <c r="O12" s="42"/>
      <c r="P12" s="42"/>
    </row>
    <row r="13" ht="16.5" spans="1:16">
      <c r="A13" s="29" t="s">
        <v>610</v>
      </c>
      <c r="B13" s="12" t="s">
        <v>81</v>
      </c>
      <c r="C13" s="30" t="s">
        <v>472</v>
      </c>
      <c r="D13" s="30" t="s">
        <v>293</v>
      </c>
      <c r="E13" s="30" t="s">
        <v>294</v>
      </c>
      <c r="F13" s="30" t="s">
        <v>621</v>
      </c>
      <c r="G13" s="13" t="s">
        <v>83</v>
      </c>
      <c r="H13" s="12" t="s">
        <v>607</v>
      </c>
      <c r="I13" s="12" t="s">
        <v>34</v>
      </c>
      <c r="J13" s="38"/>
      <c r="K13" s="13"/>
      <c r="L13" s="12"/>
      <c r="M13" s="12"/>
      <c r="N13" s="12"/>
      <c r="O13" s="42"/>
      <c r="P13" s="42"/>
    </row>
    <row r="14" ht="66" spans="1:14">
      <c r="A14" s="29" t="s">
        <v>616</v>
      </c>
      <c r="B14" s="12" t="s">
        <v>604</v>
      </c>
      <c r="C14" s="30" t="s">
        <v>472</v>
      </c>
      <c r="D14" s="30" t="s">
        <v>622</v>
      </c>
      <c r="E14" s="30" t="s">
        <v>623</v>
      </c>
      <c r="F14" s="29" t="s">
        <v>624</v>
      </c>
      <c r="G14" s="12" t="s">
        <v>284</v>
      </c>
      <c r="H14" s="12" t="s">
        <v>625</v>
      </c>
      <c r="I14" s="12" t="s">
        <v>34</v>
      </c>
      <c r="J14" s="1"/>
      <c r="K14" s="1"/>
      <c r="L14" s="39"/>
      <c r="M14" s="39"/>
      <c r="N14" s="39"/>
    </row>
    <row r="15" spans="5:6">
      <c r="E15" s="25"/>
      <c r="F15" s="25"/>
    </row>
    <row r="16" ht="18" spans="1:14">
      <c r="A16" s="26" t="s">
        <v>626</v>
      </c>
      <c r="B16" s="26"/>
      <c r="C16" s="26"/>
      <c r="D16" s="26"/>
      <c r="E16" s="26"/>
      <c r="F16" s="26"/>
      <c r="G16" s="26"/>
      <c r="H16" s="26"/>
      <c r="I16" s="26"/>
      <c r="J16" s="26"/>
      <c r="K16" s="26"/>
      <c r="L16" s="26"/>
      <c r="M16" s="26"/>
      <c r="N16" s="26"/>
    </row>
    <row r="17" ht="17.25" spans="1:14">
      <c r="A17" s="27" t="s">
        <v>587</v>
      </c>
      <c r="B17" s="27"/>
      <c r="C17" s="27"/>
      <c r="D17" s="27"/>
      <c r="E17" s="27"/>
      <c r="F17" s="27"/>
      <c r="G17" s="27"/>
      <c r="H17" s="27"/>
      <c r="I17" s="33"/>
      <c r="J17" s="34" t="s">
        <v>588</v>
      </c>
      <c r="K17" s="35"/>
      <c r="L17" s="35"/>
      <c r="M17" s="35"/>
      <c r="N17" s="43"/>
    </row>
    <row r="18" ht="36" spans="1:14">
      <c r="A18" s="28" t="s">
        <v>589</v>
      </c>
      <c r="B18" s="28" t="s">
        <v>590</v>
      </c>
      <c r="C18" s="28" t="s">
        <v>591</v>
      </c>
      <c r="D18" s="28" t="s">
        <v>592</v>
      </c>
      <c r="E18" s="28" t="s">
        <v>593</v>
      </c>
      <c r="F18" s="28" t="s">
        <v>594</v>
      </c>
      <c r="G18" s="28" t="s">
        <v>595</v>
      </c>
      <c r="H18" s="28" t="s">
        <v>596</v>
      </c>
      <c r="I18" s="28" t="s">
        <v>597</v>
      </c>
      <c r="J18" s="40" t="s">
        <v>598</v>
      </c>
      <c r="K18" s="40" t="s">
        <v>599</v>
      </c>
      <c r="L18" s="41" t="s">
        <v>600</v>
      </c>
      <c r="M18" s="41" t="s">
        <v>601</v>
      </c>
      <c r="N18" s="41" t="s">
        <v>602</v>
      </c>
    </row>
    <row r="19" ht="181.5" spans="1:16">
      <c r="A19" s="29" t="s">
        <v>20</v>
      </c>
      <c r="B19" s="12" t="s">
        <v>627</v>
      </c>
      <c r="C19" s="30" t="s">
        <v>38</v>
      </c>
      <c r="D19" s="30" t="s">
        <v>383</v>
      </c>
      <c r="E19" s="30" t="s">
        <v>628</v>
      </c>
      <c r="F19" s="29" t="s">
        <v>629</v>
      </c>
      <c r="G19" s="12" t="s">
        <v>630</v>
      </c>
      <c r="H19" s="12" t="s">
        <v>625</v>
      </c>
      <c r="I19" s="12" t="s">
        <v>56</v>
      </c>
      <c r="J19" s="13"/>
      <c r="K19" s="12"/>
      <c r="L19" s="13"/>
      <c r="M19" s="13"/>
      <c r="N19" s="13"/>
      <c r="O19" s="42"/>
      <c r="P19" s="42"/>
    </row>
    <row r="20" customFormat="1" ht="16.5" spans="1:14">
      <c r="A20" s="29" t="s">
        <v>28</v>
      </c>
      <c r="B20" s="12" t="s">
        <v>631</v>
      </c>
      <c r="C20" s="29" t="s">
        <v>142</v>
      </c>
      <c r="D20" s="12" t="s">
        <v>418</v>
      </c>
      <c r="E20" s="32" t="s">
        <v>143</v>
      </c>
      <c r="F20" s="12" t="s">
        <v>632</v>
      </c>
      <c r="G20" s="29" t="s">
        <v>129</v>
      </c>
      <c r="H20" s="12" t="s">
        <v>607</v>
      </c>
      <c r="I20" s="29" t="s">
        <v>34</v>
      </c>
      <c r="J20" s="42"/>
      <c r="K20" s="42"/>
      <c r="L20" s="42"/>
      <c r="M20" s="42"/>
      <c r="N20" s="42"/>
    </row>
    <row r="21" customFormat="1" ht="16.5" spans="1:14">
      <c r="A21" s="29" t="s">
        <v>137</v>
      </c>
      <c r="B21" s="12" t="s">
        <v>633</v>
      </c>
      <c r="C21" s="29" t="s">
        <v>132</v>
      </c>
      <c r="D21" s="12" t="s">
        <v>421</v>
      </c>
      <c r="E21" s="32" t="s">
        <v>133</v>
      </c>
      <c r="F21" s="12" t="s">
        <v>634</v>
      </c>
      <c r="G21" s="29" t="s">
        <v>129</v>
      </c>
      <c r="H21" s="12" t="s">
        <v>607</v>
      </c>
      <c r="I21" s="29" t="s">
        <v>34</v>
      </c>
      <c r="J21" s="42"/>
      <c r="K21" s="42"/>
      <c r="L21" s="42"/>
      <c r="M21" s="42"/>
      <c r="N21" s="42"/>
    </row>
    <row r="22" ht="33" spans="1:9">
      <c r="A22" s="29" t="s">
        <v>20</v>
      </c>
      <c r="B22" s="13" t="s">
        <v>30</v>
      </c>
      <c r="C22" s="30" t="s">
        <v>472</v>
      </c>
      <c r="D22" s="30" t="s">
        <v>359</v>
      </c>
      <c r="E22" s="30" t="s">
        <v>635</v>
      </c>
      <c r="F22" s="29" t="s">
        <v>636</v>
      </c>
      <c r="G22" s="13" t="s">
        <v>284</v>
      </c>
      <c r="H22" s="12" t="s">
        <v>607</v>
      </c>
      <c r="I22" s="12" t="s">
        <v>34</v>
      </c>
    </row>
    <row r="23" spans="5:6">
      <c r="E23" s="25"/>
      <c r="F23" s="25"/>
    </row>
    <row r="24" spans="5:6">
      <c r="E24" s="25"/>
      <c r="F24" s="25"/>
    </row>
    <row r="25" spans="5:6">
      <c r="E25" s="25"/>
      <c r="F25" s="25"/>
    </row>
    <row r="26" spans="5:6">
      <c r="E26" s="25"/>
      <c r="F26" s="25"/>
    </row>
    <row r="27" customFormat="1" ht="18" spans="1:14">
      <c r="A27" s="31" t="s">
        <v>262</v>
      </c>
      <c r="B27" s="31"/>
      <c r="C27" s="31"/>
      <c r="D27" s="31"/>
      <c r="E27" s="31"/>
      <c r="F27" s="31"/>
      <c r="G27" s="31"/>
      <c r="H27" s="31"/>
      <c r="I27" s="31"/>
      <c r="J27" s="31"/>
      <c r="K27" s="31"/>
      <c r="L27" s="31"/>
      <c r="M27" s="31"/>
      <c r="N27" s="31"/>
    </row>
    <row r="28" customFormat="1" ht="17.25" spans="1:14">
      <c r="A28" s="27" t="s">
        <v>637</v>
      </c>
      <c r="B28" s="27"/>
      <c r="C28" s="27"/>
      <c r="D28" s="27"/>
      <c r="E28" s="27"/>
      <c r="F28" s="27"/>
      <c r="G28" s="27"/>
      <c r="H28" s="27"/>
      <c r="I28" s="33"/>
      <c r="J28" s="34" t="s">
        <v>588</v>
      </c>
      <c r="K28" s="35"/>
      <c r="L28" s="35"/>
      <c r="M28" s="35"/>
      <c r="N28" s="43"/>
    </row>
    <row r="29" customFormat="1" ht="36" spans="1:14">
      <c r="A29" s="28" t="s">
        <v>589</v>
      </c>
      <c r="B29" s="28" t="s">
        <v>590</v>
      </c>
      <c r="C29" s="28" t="s">
        <v>591</v>
      </c>
      <c r="D29" s="28" t="s">
        <v>592</v>
      </c>
      <c r="E29" s="28" t="s">
        <v>593</v>
      </c>
      <c r="F29" s="28" t="s">
        <v>594</v>
      </c>
      <c r="G29" s="28" t="s">
        <v>595</v>
      </c>
      <c r="H29" s="28" t="s">
        <v>596</v>
      </c>
      <c r="I29" s="28" t="s">
        <v>597</v>
      </c>
      <c r="J29" s="36" t="s">
        <v>598</v>
      </c>
      <c r="K29" s="36" t="s">
        <v>599</v>
      </c>
      <c r="L29" s="37" t="s">
        <v>600</v>
      </c>
      <c r="M29" s="37" t="s">
        <v>601</v>
      </c>
      <c r="N29" s="37" t="s">
        <v>602</v>
      </c>
    </row>
    <row r="30" ht="33" spans="1:16">
      <c r="A30" s="29" t="s">
        <v>262</v>
      </c>
      <c r="B30" s="12" t="s">
        <v>638</v>
      </c>
      <c r="C30" s="29" t="s">
        <v>639</v>
      </c>
      <c r="D30" s="30" t="s">
        <v>640</v>
      </c>
      <c r="E30" s="30" t="s">
        <v>641</v>
      </c>
      <c r="F30" s="29" t="s">
        <v>642</v>
      </c>
      <c r="G30" s="13" t="s">
        <v>284</v>
      </c>
      <c r="H30" s="12" t="s">
        <v>607</v>
      </c>
      <c r="I30" s="12" t="s">
        <v>56</v>
      </c>
      <c r="J30" s="13"/>
      <c r="K30" s="13"/>
      <c r="L30" s="12"/>
      <c r="M30" s="12"/>
      <c r="N30" s="13"/>
      <c r="O30" s="42"/>
      <c r="P30" s="42"/>
    </row>
    <row r="31" ht="82.5" spans="1:9">
      <c r="A31" s="29" t="s">
        <v>262</v>
      </c>
      <c r="B31" s="12" t="s">
        <v>643</v>
      </c>
      <c r="C31" s="29" t="s">
        <v>639</v>
      </c>
      <c r="D31" s="29" t="s">
        <v>469</v>
      </c>
      <c r="E31" s="29" t="s">
        <v>644</v>
      </c>
      <c r="F31" s="29" t="s">
        <v>645</v>
      </c>
      <c r="G31" s="29" t="s">
        <v>174</v>
      </c>
      <c r="H31" s="29" t="s">
        <v>607</v>
      </c>
      <c r="I31" s="29" t="s">
        <v>34</v>
      </c>
    </row>
    <row r="32" spans="5:6">
      <c r="E32" s="25"/>
      <c r="F32" s="25"/>
    </row>
    <row r="33" spans="5:6">
      <c r="E33" s="25"/>
      <c r="F33" s="25"/>
    </row>
    <row r="34" spans="5:6">
      <c r="E34" s="25"/>
      <c r="F34" s="25"/>
    </row>
    <row r="35" spans="5:6">
      <c r="E35" s="25"/>
      <c r="F35" s="25"/>
    </row>
    <row r="36" spans="5:6">
      <c r="E36" s="25"/>
      <c r="F36" s="25"/>
    </row>
  </sheetData>
  <sheetProtection formatCells="0" insertHyperlinks="0" autoFilter="0"/>
  <autoFilter xmlns:etc="http://www.wps.cn/officeDocument/2017/etCustomData" ref="A3:P36" etc:filterBottomFollowUsedRange="1">
    <extLst/>
  </autoFilter>
  <mergeCells count="9">
    <mergeCell ref="A1:N1"/>
    <mergeCell ref="A2:H2"/>
    <mergeCell ref="J2:N2"/>
    <mergeCell ref="A16:N16"/>
    <mergeCell ref="A17:H17"/>
    <mergeCell ref="J17:N17"/>
    <mergeCell ref="A27:N27"/>
    <mergeCell ref="A28:H28"/>
    <mergeCell ref="J28:N2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
  <sheetViews>
    <sheetView topLeftCell="F21" workbookViewId="0">
      <selection activeCell="B12" sqref="B12"/>
    </sheetView>
  </sheetViews>
  <sheetFormatPr defaultColWidth="9" defaultRowHeight="16.5"/>
  <cols>
    <col min="1" max="1" width="15.125" style="1" customWidth="1"/>
    <col min="2" max="2" width="14.025" style="1" customWidth="1"/>
    <col min="3" max="3" width="27.15" style="1" customWidth="1"/>
    <col min="4" max="5" width="31.3333333333333" style="1" customWidth="1"/>
    <col min="6" max="6" width="48.525" style="1" hidden="1" customWidth="1"/>
    <col min="7" max="10" width="51.225" style="1" hidden="1" customWidth="1"/>
    <col min="11" max="14" width="60.3583333333333" style="1" hidden="1" customWidth="1"/>
    <col min="15" max="15" width="60.3583333333333" style="1" customWidth="1"/>
    <col min="16" max="16384" width="9" style="1"/>
  </cols>
  <sheetData>
    <row r="1" ht="21.85" customHeight="1" spans="1:15">
      <c r="A1" s="2" t="s">
        <v>646</v>
      </c>
      <c r="B1" s="2" t="s">
        <v>647</v>
      </c>
      <c r="C1" s="2" t="s">
        <v>648</v>
      </c>
      <c r="D1" s="2"/>
      <c r="E1" s="2"/>
      <c r="F1" s="18" t="s">
        <v>649</v>
      </c>
      <c r="G1" s="18" t="s">
        <v>650</v>
      </c>
      <c r="H1" s="18" t="s">
        <v>651</v>
      </c>
      <c r="I1" s="18" t="s">
        <v>652</v>
      </c>
      <c r="J1" s="18" t="s">
        <v>653</v>
      </c>
      <c r="K1" s="18" t="s">
        <v>654</v>
      </c>
      <c r="L1" s="18" t="s">
        <v>655</v>
      </c>
      <c r="M1" s="18" t="s">
        <v>656</v>
      </c>
      <c r="N1" s="18" t="s">
        <v>657</v>
      </c>
      <c r="O1" s="18" t="s">
        <v>658</v>
      </c>
    </row>
    <row r="2" ht="21.85" customHeight="1" spans="1:15">
      <c r="A2" s="3"/>
      <c r="B2" s="3"/>
      <c r="C2" s="3" t="s">
        <v>659</v>
      </c>
      <c r="D2" s="3" t="s">
        <v>660</v>
      </c>
      <c r="E2" s="3" t="s">
        <v>661</v>
      </c>
      <c r="F2" s="19"/>
      <c r="G2" s="19"/>
      <c r="H2" s="19"/>
      <c r="I2" s="19"/>
      <c r="J2" s="19"/>
      <c r="K2" s="19"/>
      <c r="L2" s="19"/>
      <c r="M2" s="19"/>
      <c r="N2" s="19"/>
      <c r="O2" s="19"/>
    </row>
    <row r="3" ht="61.6" customHeight="1" spans="1:15">
      <c r="A3" s="4" t="s">
        <v>662</v>
      </c>
      <c r="B3" s="5">
        <v>46015</v>
      </c>
      <c r="C3" s="6" t="s">
        <v>663</v>
      </c>
      <c r="D3" s="6" t="s">
        <v>664</v>
      </c>
      <c r="E3" s="12" t="s">
        <v>665</v>
      </c>
      <c r="F3" s="20" t="s">
        <v>666</v>
      </c>
      <c r="G3" s="20" t="s">
        <v>667</v>
      </c>
      <c r="H3" s="20" t="s">
        <v>668</v>
      </c>
      <c r="I3" s="20" t="s">
        <v>669</v>
      </c>
      <c r="J3" s="20" t="s">
        <v>670</v>
      </c>
      <c r="K3" s="20" t="s">
        <v>671</v>
      </c>
      <c r="L3" s="20" t="s">
        <v>672</v>
      </c>
      <c r="M3" s="20" t="s">
        <v>673</v>
      </c>
      <c r="N3" s="20" t="s">
        <v>674</v>
      </c>
      <c r="O3" s="20" t="s">
        <v>675</v>
      </c>
    </row>
    <row r="4" ht="33.1" customHeight="1" spans="1:15">
      <c r="A4" s="7"/>
      <c r="B4" s="5">
        <f>WORKDAY(B3,1)</f>
        <v>46016</v>
      </c>
      <c r="C4" s="8" t="s">
        <v>676</v>
      </c>
      <c r="D4" s="8" t="s">
        <v>677</v>
      </c>
      <c r="E4" s="12" t="s">
        <v>665</v>
      </c>
      <c r="F4" s="21"/>
      <c r="G4" s="21"/>
      <c r="H4" s="21"/>
      <c r="I4" s="21"/>
      <c r="J4" s="21"/>
      <c r="K4" s="21"/>
      <c r="L4" s="21"/>
      <c r="M4" s="21"/>
      <c r="N4" s="21"/>
      <c r="O4" s="21"/>
    </row>
    <row r="5" ht="33.1" customHeight="1" spans="1:15">
      <c r="A5" s="7"/>
      <c r="B5" s="5">
        <f>WORKDAY(B4,1)</f>
        <v>46017</v>
      </c>
      <c r="C5" s="8" t="s">
        <v>678</v>
      </c>
      <c r="D5" s="8" t="s">
        <v>679</v>
      </c>
      <c r="E5" s="8" t="s">
        <v>680</v>
      </c>
      <c r="F5" s="21"/>
      <c r="G5" s="21"/>
      <c r="H5" s="21"/>
      <c r="I5" s="21"/>
      <c r="J5" s="21"/>
      <c r="K5" s="21"/>
      <c r="L5" s="21"/>
      <c r="M5" s="21"/>
      <c r="N5" s="21"/>
      <c r="O5" s="21"/>
    </row>
    <row r="6" ht="33.1" customHeight="1" spans="1:15">
      <c r="A6" s="7"/>
      <c r="B6" s="5">
        <f>WORKDAY(B5,1)</f>
        <v>46020</v>
      </c>
      <c r="C6" s="9" t="s">
        <v>681</v>
      </c>
      <c r="D6" s="9" t="s">
        <v>682</v>
      </c>
      <c r="E6" s="9" t="s">
        <v>683</v>
      </c>
      <c r="F6" s="21"/>
      <c r="G6" s="21"/>
      <c r="H6" s="21"/>
      <c r="I6" s="21"/>
      <c r="J6" s="21"/>
      <c r="K6" s="21"/>
      <c r="L6" s="21"/>
      <c r="M6" s="21"/>
      <c r="N6" s="21"/>
      <c r="O6" s="21"/>
    </row>
    <row r="7" ht="33.1" customHeight="1" spans="1:15">
      <c r="A7" s="7"/>
      <c r="B7" s="5">
        <f>WORKDAY(B6,1)</f>
        <v>46021</v>
      </c>
      <c r="C7" s="10"/>
      <c r="D7" s="10"/>
      <c r="E7" s="10"/>
      <c r="F7" s="21"/>
      <c r="G7" s="21"/>
      <c r="H7" s="21"/>
      <c r="I7" s="21"/>
      <c r="J7" s="21"/>
      <c r="K7" s="21"/>
      <c r="L7" s="21"/>
      <c r="M7" s="21"/>
      <c r="N7" s="21"/>
      <c r="O7" s="21"/>
    </row>
    <row r="8" ht="33.1" customHeight="1" spans="1:15">
      <c r="A8" s="7"/>
      <c r="B8" s="5">
        <f>WORKDAY(B7,1)</f>
        <v>46022</v>
      </c>
      <c r="C8" s="10"/>
      <c r="D8" s="10"/>
      <c r="E8" s="10"/>
      <c r="F8" s="21"/>
      <c r="G8" s="21"/>
      <c r="H8" s="21"/>
      <c r="I8" s="21"/>
      <c r="J8" s="21"/>
      <c r="K8" s="21"/>
      <c r="L8" s="21"/>
      <c r="M8" s="21"/>
      <c r="N8" s="21"/>
      <c r="O8" s="21"/>
    </row>
    <row r="9" ht="33.1" customHeight="1" spans="1:15">
      <c r="A9" s="7"/>
      <c r="B9" s="5">
        <v>46027</v>
      </c>
      <c r="C9" s="10"/>
      <c r="D9" s="10"/>
      <c r="E9" s="10"/>
      <c r="F9" s="21"/>
      <c r="G9" s="21"/>
      <c r="H9" s="21"/>
      <c r="I9" s="21"/>
      <c r="J9" s="21"/>
      <c r="K9" s="21"/>
      <c r="L9" s="21"/>
      <c r="M9" s="21"/>
      <c r="N9" s="21"/>
      <c r="O9" s="21"/>
    </row>
    <row r="10" ht="33.1" customHeight="1" spans="1:15">
      <c r="A10" s="7"/>
      <c r="B10" s="5">
        <f>WORKDAY(B9,1)</f>
        <v>46028</v>
      </c>
      <c r="C10" s="10"/>
      <c r="D10" s="10"/>
      <c r="E10" s="10"/>
      <c r="F10" s="21"/>
      <c r="G10" s="21"/>
      <c r="H10" s="21"/>
      <c r="I10" s="21"/>
      <c r="J10" s="21"/>
      <c r="K10" s="21"/>
      <c r="L10" s="21"/>
      <c r="M10" s="21"/>
      <c r="N10" s="21"/>
      <c r="O10" s="21"/>
    </row>
    <row r="11" ht="33.1" customHeight="1" spans="1:15">
      <c r="A11" s="7"/>
      <c r="B11" s="5">
        <f>WORKDAY(B10,1)</f>
        <v>46029</v>
      </c>
      <c r="C11" s="10"/>
      <c r="D11" s="10"/>
      <c r="E11" s="10"/>
      <c r="F11" s="21"/>
      <c r="G11" s="21"/>
      <c r="H11" s="21"/>
      <c r="I11" s="21"/>
      <c r="J11" s="21"/>
      <c r="K11" s="21"/>
      <c r="L11" s="21"/>
      <c r="M11" s="21"/>
      <c r="N11" s="21"/>
      <c r="O11" s="21"/>
    </row>
    <row r="12" ht="33.1" customHeight="1" spans="1:15">
      <c r="A12" s="7"/>
      <c r="B12" s="5">
        <f>WORKDAY(B11,1)</f>
        <v>46030</v>
      </c>
      <c r="C12" s="11"/>
      <c r="D12" s="11"/>
      <c r="E12" s="11"/>
      <c r="F12" s="21"/>
      <c r="G12" s="21"/>
      <c r="H12" s="21"/>
      <c r="I12" s="21"/>
      <c r="J12" s="21"/>
      <c r="K12" s="21"/>
      <c r="L12" s="21"/>
      <c r="M12" s="21"/>
      <c r="N12" s="21"/>
      <c r="O12" s="21"/>
    </row>
    <row r="13" ht="33.1" customHeight="1" spans="1:15">
      <c r="A13" s="7"/>
      <c r="B13" s="5">
        <v>46031</v>
      </c>
      <c r="C13" s="12" t="s">
        <v>684</v>
      </c>
      <c r="D13" s="13"/>
      <c r="E13" s="13"/>
      <c r="F13" s="21"/>
      <c r="G13" s="21"/>
      <c r="H13" s="21"/>
      <c r="I13" s="21"/>
      <c r="J13" s="21"/>
      <c r="K13" s="21"/>
      <c r="L13" s="21"/>
      <c r="M13" s="21"/>
      <c r="N13" s="21"/>
      <c r="O13" s="21"/>
    </row>
    <row r="14" ht="33.1" customHeight="1" spans="1:15">
      <c r="A14" s="14" t="s">
        <v>685</v>
      </c>
      <c r="B14" s="5">
        <f t="shared" ref="B13:B20" si="0">WORKDAY(B13,1)</f>
        <v>46034</v>
      </c>
      <c r="C14" s="12" t="s">
        <v>686</v>
      </c>
      <c r="D14" s="12" t="s">
        <v>687</v>
      </c>
      <c r="E14" s="13"/>
      <c r="F14" s="21"/>
      <c r="G14" s="21"/>
      <c r="H14" s="21"/>
      <c r="I14" s="21"/>
      <c r="J14" s="21"/>
      <c r="K14" s="21"/>
      <c r="L14" s="21"/>
      <c r="M14" s="21"/>
      <c r="N14" s="21"/>
      <c r="O14" s="21"/>
    </row>
    <row r="15" ht="33.1" customHeight="1" spans="1:15">
      <c r="A15" s="15"/>
      <c r="B15" s="5">
        <f t="shared" si="0"/>
        <v>46035</v>
      </c>
      <c r="C15" s="13"/>
      <c r="D15" s="12" t="s">
        <v>687</v>
      </c>
      <c r="E15" s="13"/>
      <c r="F15" s="21"/>
      <c r="G15" s="21"/>
      <c r="H15" s="21"/>
      <c r="I15" s="21"/>
      <c r="J15" s="21"/>
      <c r="K15" s="21"/>
      <c r="L15" s="21"/>
      <c r="M15" s="21"/>
      <c r="N15" s="21"/>
      <c r="O15" s="21"/>
    </row>
    <row r="16" ht="33.1" customHeight="1" spans="1:15">
      <c r="A16" s="15"/>
      <c r="B16" s="5">
        <f t="shared" si="0"/>
        <v>46036</v>
      </c>
      <c r="C16" s="13"/>
      <c r="D16" s="12" t="s">
        <v>688</v>
      </c>
      <c r="E16" s="12" t="s">
        <v>689</v>
      </c>
      <c r="F16" s="21"/>
      <c r="G16" s="21"/>
      <c r="H16" s="21"/>
      <c r="I16" s="21"/>
      <c r="J16" s="21"/>
      <c r="K16" s="21"/>
      <c r="L16" s="21"/>
      <c r="M16" s="21"/>
      <c r="N16" s="21"/>
      <c r="O16" s="21"/>
    </row>
    <row r="17" ht="33.1" customHeight="1" spans="1:15">
      <c r="A17" s="15"/>
      <c r="B17" s="5">
        <f t="shared" si="0"/>
        <v>46037</v>
      </c>
      <c r="C17" s="13"/>
      <c r="D17" s="12" t="s">
        <v>690</v>
      </c>
      <c r="E17" s="12" t="s">
        <v>689</v>
      </c>
      <c r="F17" s="21"/>
      <c r="G17" s="21"/>
      <c r="H17" s="21"/>
      <c r="I17" s="21"/>
      <c r="J17" s="21"/>
      <c r="K17" s="21"/>
      <c r="L17" s="21"/>
      <c r="M17" s="21"/>
      <c r="N17" s="21"/>
      <c r="O17" s="21"/>
    </row>
    <row r="18" ht="33.1" customHeight="1" spans="1:15">
      <c r="A18" s="15"/>
      <c r="B18" s="5">
        <f t="shared" si="0"/>
        <v>46038</v>
      </c>
      <c r="C18" s="13"/>
      <c r="D18" s="13"/>
      <c r="E18" s="12" t="s">
        <v>691</v>
      </c>
      <c r="F18" s="21"/>
      <c r="G18" s="21"/>
      <c r="H18" s="21"/>
      <c r="I18" s="21"/>
      <c r="J18" s="21"/>
      <c r="K18" s="21"/>
      <c r="L18" s="21"/>
      <c r="M18" s="21"/>
      <c r="N18" s="21"/>
      <c r="O18" s="21"/>
    </row>
    <row r="19" ht="33" spans="1:15">
      <c r="A19" s="16" t="s">
        <v>692</v>
      </c>
      <c r="B19" s="5">
        <v>46041</v>
      </c>
      <c r="C19" s="12" t="s">
        <v>693</v>
      </c>
      <c r="D19" s="13"/>
      <c r="E19" s="6" t="s">
        <v>694</v>
      </c>
      <c r="F19" s="21"/>
      <c r="G19" s="21"/>
      <c r="H19" s="21"/>
      <c r="I19" s="21"/>
      <c r="J19" s="21"/>
      <c r="K19" s="21"/>
      <c r="L19" s="21"/>
      <c r="M19" s="21"/>
      <c r="N19" s="21"/>
      <c r="O19" s="21"/>
    </row>
    <row r="20" ht="36.85" customHeight="1" spans="1:15">
      <c r="A20" s="17"/>
      <c r="B20" s="5">
        <f t="shared" si="0"/>
        <v>46042</v>
      </c>
      <c r="C20" s="16" t="s">
        <v>695</v>
      </c>
      <c r="D20" s="16" t="s">
        <v>695</v>
      </c>
      <c r="E20" s="16" t="s">
        <v>695</v>
      </c>
      <c r="F20" s="21"/>
      <c r="G20" s="21"/>
      <c r="H20" s="21"/>
      <c r="I20" s="21"/>
      <c r="J20" s="21"/>
      <c r="K20" s="21"/>
      <c r="L20" s="21"/>
      <c r="M20" s="21"/>
      <c r="N20" s="21"/>
      <c r="O20" s="21"/>
    </row>
    <row r="21" ht="36.85" customHeight="1" spans="1:15">
      <c r="A21" s="17"/>
      <c r="B21" s="16" t="s">
        <v>695</v>
      </c>
      <c r="C21" s="16" t="s">
        <v>695</v>
      </c>
      <c r="D21" s="16" t="s">
        <v>695</v>
      </c>
      <c r="E21" s="16" t="s">
        <v>695</v>
      </c>
      <c r="F21" s="22"/>
      <c r="G21" s="22"/>
      <c r="H21" s="22"/>
      <c r="I21" s="22"/>
      <c r="J21" s="22"/>
      <c r="K21" s="22"/>
      <c r="L21" s="22"/>
      <c r="M21" s="22"/>
      <c r="N21" s="22"/>
      <c r="O21" s="22"/>
    </row>
    <row r="22" spans="6:15">
      <c r="F22" s="23">
        <v>1</v>
      </c>
      <c r="G22" s="23">
        <v>2</v>
      </c>
      <c r="H22" s="23">
        <v>3</v>
      </c>
      <c r="I22" s="23">
        <v>4</v>
      </c>
      <c r="J22" s="24">
        <v>5</v>
      </c>
      <c r="K22" s="23">
        <v>6</v>
      </c>
      <c r="L22" s="23">
        <v>7</v>
      </c>
      <c r="M22" s="23">
        <v>8</v>
      </c>
      <c r="N22" s="23">
        <v>9</v>
      </c>
      <c r="O22" s="23">
        <v>9</v>
      </c>
    </row>
  </sheetData>
  <sheetProtection formatCells="0" insertHyperlinks="0" autoFilter="0"/>
  <mergeCells count="29">
    <mergeCell ref="C1:E1"/>
    <mergeCell ref="A1:A2"/>
    <mergeCell ref="A3:A13"/>
    <mergeCell ref="A14:A18"/>
    <mergeCell ref="A19:A21"/>
    <mergeCell ref="B1:B2"/>
    <mergeCell ref="C6:C12"/>
    <mergeCell ref="D6:D12"/>
    <mergeCell ref="E6:E12"/>
    <mergeCell ref="F1:F2"/>
    <mergeCell ref="F3:F21"/>
    <mergeCell ref="G1:G2"/>
    <mergeCell ref="G3:G21"/>
    <mergeCell ref="H1:H2"/>
    <mergeCell ref="H3:H21"/>
    <mergeCell ref="I1:I2"/>
    <mergeCell ref="I3:I21"/>
    <mergeCell ref="J1:J2"/>
    <mergeCell ref="J3:J21"/>
    <mergeCell ref="K1:K2"/>
    <mergeCell ref="K3:K21"/>
    <mergeCell ref="L1:L2"/>
    <mergeCell ref="L3:L21"/>
    <mergeCell ref="M1:M2"/>
    <mergeCell ref="M3:M21"/>
    <mergeCell ref="N1:N2"/>
    <mergeCell ref="N3:N21"/>
    <mergeCell ref="O1:O2"/>
    <mergeCell ref="O3:O2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AKRFnkkUtoTSeyJs:019908"/>
  <rangeList sheetStid="3" master=""/>
  <rangeList sheetStid="4" master=""/>
  <rangeList sheetStid="6" master=""/>
</allowEditUser>
</file>

<file path=customXml/item2.xml><?xml version="1.0" encoding="utf-8"?>
<dvExts xmlns="http://www.wps.cn/et/2023/dataValidationExt" xmlns:s="http://schemas.openxmlformats.org/spreadsheetml/2006/main">
  <dvExt uuid="{5543fad6-de82-49ba-b44f-49595aefac6e}">
    <list multiSupport="0" colorSupport="1"/>
  </dvExt>
  <dvExt uuid="{a24475e9-2440-487d-8b60-bcce40f9da1c}">
    <list multiSupport="1" colorSupport="1"/>
  </dvExt>
</dvExts>
</file>

<file path=customXml/item3.xml><?xml version="1.0" encoding="utf-8"?>
<autofilters xmlns="https://web.wps.cn/et/2018/main">
  <sheetItem sheetStid="1">
    <filterData filterID="AKRFnkkUtoTSeyJs:005772">
      <hiddenRange rowFrom="15" rowTo="15"/>
      <hiddenRange rowFrom="27" rowTo="27"/>
      <hiddenRange rowFrom="32" rowTo="42"/>
      <hiddenRange rowFrom="45" rowTo="73"/>
    </filterData>
    <filterData filterID="AKRFnkkUtoTSeyJs:024868"/>
    <filterData filterID="AKRFnkkUtoTSeyJs:015964"/>
    <filterData filterID="AKRFnkkUtoTSeyJs:019503">
      <hiddenRange rowFrom="1" rowTo="7"/>
      <hiddenRange rowFrom="9" rowTo="13"/>
      <hiddenRange rowFrom="15" rowTo="46"/>
      <hiddenRange rowFrom="48" rowTo="73"/>
    </filterData>
    <filterData filterID="AKRFnkkUtoTSeyJs:018386"/>
    <filterData filterID="AKRFnkkUtoTSeyJs:019521"/>
    <filterData filterID="AKRFnkkUtoTSeyJs:020057">
      <hiddenRange rowFrom="1" rowTo="7"/>
      <hiddenRange rowFrom="9" rowTo="13"/>
      <hiddenRange rowFrom="15" rowTo="46"/>
      <hiddenRange rowFrom="48" rowTo="73"/>
    </filterData>
    <filterData filterID="AKRFnkkUtoTSeyJs:019908">
      <hiddenRange rowFrom="28" rowTo="73"/>
    </filterData>
    <filterData filterID="AKRFnkkUtoTSeyJs:022651">
      <hiddenRange rowFrom="2" rowTo="3"/>
      <hiddenRange rowFrom="10" rowTo="11"/>
      <hiddenRange rowFrom="15" rowTo="15"/>
      <hiddenRange rowFrom="25" rowTo="25"/>
      <hiddenRange rowFrom="27" rowTo="27"/>
      <hiddenRange rowFrom="32" rowTo="35"/>
      <hiddenRange rowFrom="39" rowTo="39"/>
      <hiddenRange rowFrom="41" rowTo="42"/>
      <hiddenRange rowFrom="45" rowTo="45"/>
      <hiddenRange rowFrom="48" rowTo="48"/>
      <hiddenRange rowFrom="50" rowTo="73"/>
    </filterData>
    <filterData filterID="AKRFnkkUtoTSeyJs:018828">
      <hiddenRange rowFrom="1" rowTo="3"/>
      <hiddenRange rowFrom="5" rowTo="8"/>
      <hiddenRange rowFrom="10" rowTo="12"/>
      <hiddenRange rowFrom="15" rowTo="15"/>
      <hiddenRange rowFrom="19" rowTo="22"/>
      <hiddenRange rowFrom="24" rowTo="27"/>
      <hiddenRange rowFrom="32" rowTo="39"/>
      <hiddenRange rowFrom="41" rowTo="46"/>
      <hiddenRange rowFrom="48" rowTo="73"/>
    </filterData>
    <filterData filterID="AKRFnkkUtoTSeyJs:019040"/>
    <filterData filterID="AKRFnkkUtoTSeyJs:017436">
      <hiddenRange rowFrom="2" rowTo="3"/>
      <hiddenRange rowFrom="5" rowTo="8"/>
      <hiddenRange rowFrom="10" rowTo="11"/>
      <hiddenRange rowFrom="15" rowTo="15"/>
      <hiddenRange rowFrom="19" rowTo="22"/>
      <hiddenRange rowFrom="24" rowTo="27"/>
      <hiddenRange rowFrom="32" rowTo="35"/>
      <hiddenRange rowFrom="39" rowTo="39"/>
      <hiddenRange rowFrom="41" rowTo="46"/>
      <hiddenRange rowFrom="48" rowTo="48"/>
      <hiddenRange rowFrom="50" rowTo="73"/>
    </filterData>
    <filterData filterID="AKRFnkkUtoTSeyJs:023824"/>
    <filterData filterID="AKRFnkkUtoTSeyJs:K1101894"/>
    <filterData filterID="AKRFnkkUtoTSeyJs:010713">
      <hiddenRange rowFrom="3" rowTo="3"/>
      <hiddenRange rowFrom="8" rowTo="8"/>
      <hiddenRange rowFrom="10" rowTo="10"/>
      <hiddenRange rowFrom="14" rowTo="14"/>
      <hiddenRange rowFrom="16" rowTo="18"/>
      <hiddenRange rowFrom="23" rowTo="24"/>
      <hiddenRange rowFrom="26" rowTo="26"/>
      <hiddenRange rowFrom="30" rowTo="35"/>
      <hiddenRange rowFrom="45" rowTo="45"/>
      <hiddenRange rowFrom="50" rowTo="73"/>
    </filterData>
    <filterData filterID="AKRFnkkUtoTSeyJs:025082">
      <hiddenRange rowFrom="1" rowTo="1"/>
      <hiddenRange rowFrom="3" rowTo="5"/>
      <hiddenRange rowFrom="7" rowTo="7"/>
      <hiddenRange rowFrom="9" rowTo="23"/>
      <hiddenRange rowFrom="25" rowTo="25"/>
      <hiddenRange rowFrom="27" rowTo="45"/>
      <hiddenRange rowFrom="47" rowTo="73"/>
    </filterData>
    <filterData filterID="AKRFnkkUtoTSeyJs:017098"/>
    <filterData filterID="AKRFnkkUtoTSeyJs:019375">
      <hiddenRange rowFrom="1" rowTo="14"/>
      <hiddenRange rowFrom="16" rowTo="27"/>
      <hiddenRange rowFrom="30" rowTo="39"/>
      <hiddenRange rowFrom="42" rowTo="73"/>
    </filterData>
    <filterData filterID="AKRFnkkUtoTSeyJs:018896">
      <hiddenRange rowFrom="1" rowTo="1"/>
      <hiddenRange rowFrom="3" rowTo="5"/>
      <hiddenRange rowFrom="7" rowTo="23"/>
      <hiddenRange rowFrom="27" rowTo="45"/>
      <hiddenRange rowFrom="47" rowTo="73"/>
    </filterData>
    <autofilterInfo filterID="AKRFnkkUtoTSeyJs:005772">
      <autoFilter xmlns="http://schemas.openxmlformats.org/spreadsheetml/2006/main" ref="A1:T74">
        <filterColumn colId="0">
          <filters>
            <filter val="香港金控FICC"/>
            <filter val="中央交易室"/>
            <filter val="资金运营部"/>
            <filter val="固定收益部"/>
          </filters>
        </filterColumn>
        <filterColumn colId="14">
          <filters>
            <filter val="陈治平"/>
            <filter val="姚忠兵"/>
            <filter val="张弦"/>
            <filter val="戚挺"/>
            <filter val="张天翼"/>
            <filter val="王轮樟"/>
          </filters>
        </filterColumn>
      </autoFilter>
    </autofilterInfo>
    <autofilterInfo filterID="AKRFnkkUtoTSeyJs:025082">
      <autoFilter xmlns="http://schemas.openxmlformats.org/spreadsheetml/2006/main" ref="A1:T74">
        <filterColumn colId="14">
          <customFilters>
            <customFilter operator="equal" val="姚忠兵"/>
            <customFilter operator="equal" val="张天翼"/>
          </customFilters>
        </filterColumn>
      </autoFilter>
    </autofilterInfo>
    <autofilterInfo filterID="AKRFnkkUtoTSeyJs:010713">
      <autoFilter xmlns="http://schemas.openxmlformats.org/spreadsheetml/2006/main" ref="A1:T74">
        <filterColumn colId="16">
          <customFilters>
            <customFilter operator="equal" val="是"/>
          </customFilters>
        </filterColumn>
      </autoFilter>
    </autofilterInfo>
    <autofilterInfo filterID="AKRFnkkUtoTSeyJs:019375">
      <autoFilter xmlns="http://schemas.openxmlformats.org/spreadsheetml/2006/main" ref="A1:T74">
        <filterColumn colId="13">
          <customFilters>
            <customFilter operator="equal" val="成楠"/>
          </customFilters>
        </filterColumn>
        <filterColumn colId="16">
          <customFilters>
            <customFilter operator="equal" val="是"/>
          </customFilters>
        </filterColumn>
      </autoFilter>
    </autofilterInfo>
    <autofilterInfo filterID="AKRFnkkUtoTSeyJs:019503">
      <autoFilter xmlns="http://schemas.openxmlformats.org/spreadsheetml/2006/main" ref="A1:T74">
        <filterColumn colId="13">
          <customFilters>
            <customFilter operator="equal" val="曾慧聪"/>
          </customFilters>
        </filterColumn>
      </autoFilter>
    </autofilterInfo>
    <autofilterInfo filterID="AKRFnkkUtoTSeyJs:018828">
      <autoFilter xmlns="http://schemas.openxmlformats.org/spreadsheetml/2006/main" ref="A1:T74">
        <filterColumn colId="14">
          <customFilters>
            <customFilter operator="equal" val="戚挺"/>
          </customFilters>
        </filterColumn>
      </autoFilter>
    </autofilterInfo>
    <autofilterInfo filterID="AKRFnkkUtoTSeyJs:017436">
      <autoFilter xmlns="http://schemas.openxmlformats.org/spreadsheetml/2006/main" ref="A1:T74">
        <filterColumn colId="14">
          <customFilters>
            <customFilter operator="equal" val="戚挺"/>
            <customFilter operator="equal" val="王轮樟"/>
          </customFilters>
        </filterColumn>
      </autoFilter>
    </autofilterInfo>
    <autofilterInfo filterID="AKRFnkkUtoTSeyJs:019908">
      <autoFilter xmlns="http://schemas.openxmlformats.org/spreadsheetml/2006/main" ref="A1:T74">
        <filterColumn colId="0">
          <customFilters>
            <customFilter operator="equal" val="固定收益部"/>
            <customFilter operator="equal" val="香港金控FICC"/>
          </customFilters>
        </filterColumn>
      </autoFilter>
    </autofilterInfo>
    <autofilterInfo filterID="AKRFnkkUtoTSeyJs:020057">
      <autoFilter xmlns="http://schemas.openxmlformats.org/spreadsheetml/2006/main" ref="A1:T74">
        <filterColumn colId="13">
          <customFilters>
            <customFilter operator="equal" val="曾慧聪"/>
          </customFilters>
        </filterColumn>
      </autoFilter>
    </autofilterInfo>
    <autofilterInfo filterID="AKRFnkkUtoTSeyJs:022651">
      <autoFilter xmlns="http://schemas.openxmlformats.org/spreadsheetml/2006/main" ref="A1:T74">
        <filterColumn colId="14">
          <filters>
            <filter val="姚忠兵"/>
            <filter val="张弦"/>
            <filter val="戚挺"/>
            <filter val="王轮樟"/>
          </filters>
        </filterColumn>
      </autoFilter>
    </autofilterInfo>
    <autofilterInfo filterID="AKRFnkkUtoTSeyJs:018896">
      <autoFilter xmlns="http://schemas.openxmlformats.org/spreadsheetml/2006/main" ref="A1:T74">
        <filterColumn colId="13">
          <customFilters>
            <customFilter operator="equal" val="刘佩金"/>
          </customFilters>
        </filterColumn>
      </autoFilter>
    </autofilterInfo>
  </sheetItem>
  <sheetItem sheetStid="3">
    <filterData filterID="AKRFnkkUtoTSeyJs:018896">
      <hiddenRange rowFrom="2" rowTo="8"/>
      <hiddenRange rowFrom="10" rowTo="12"/>
      <hiddenRange rowFrom="15" rowTo="23"/>
      <hiddenRange rowFrom="26" rowTo="26"/>
      <hiddenRange rowFrom="28" rowTo="42"/>
      <hiddenRange rowFrom="44" rowTo="54"/>
    </filterData>
    <filterData filterID="AKRFnkkUtoTSeyJs:019227">
      <hiddenRange rowFrom="2" rowTo="34"/>
      <hiddenRange rowFrom="38" rowTo="47"/>
      <hiddenRange rowFrom="52" rowTo="54"/>
    </filterData>
    <filterData filterID="AKRFnkkUtoTSeyJs:025172">
      <hiddenRange rowFrom="2" rowTo="2"/>
      <hiddenRange rowFrom="9" rowTo="9"/>
      <hiddenRange rowFrom="11" rowTo="11"/>
      <hiddenRange rowFrom="13" rowTo="13"/>
      <hiddenRange rowFrom="16" rowTo="20"/>
      <hiddenRange rowFrom="22" rowTo="22"/>
      <hiddenRange rowFrom="26" rowTo="27"/>
      <hiddenRange rowFrom="30" rowTo="31"/>
      <hiddenRange rowFrom="33" rowTo="34"/>
      <hiddenRange rowFrom="38" rowTo="41"/>
      <hiddenRange rowFrom="43" rowTo="48"/>
    </filterData>
    <filterData filterID="AKRFnkkUtoTSeyJs:012191">
      <hiddenRange rowFrom="2" rowTo="9"/>
      <hiddenRange rowFrom="11" rowTo="11"/>
      <hiddenRange rowFrom="13" rowTo="14"/>
      <hiddenRange rowFrom="16" rowTo="19"/>
      <hiddenRange rowFrom="22" rowTo="22"/>
      <hiddenRange rowFrom="24" rowTo="25"/>
      <hiddenRange rowFrom="27" rowTo="39"/>
      <hiddenRange rowFrom="42" rowTo="45"/>
      <hiddenRange rowFrom="48" rowTo="54"/>
    </filterData>
    <filterData filterID="AKRFnkkUtoTSeyJs:019747">
      <hiddenRange rowFrom="2" rowTo="2"/>
      <hiddenRange rowFrom="9" rowTo="9"/>
      <hiddenRange rowFrom="11" rowTo="13"/>
      <hiddenRange rowFrom="15" rowTo="19"/>
      <hiddenRange rowFrom="26" rowTo="26"/>
      <hiddenRange rowFrom="28" rowTo="28"/>
      <hiddenRange rowFrom="30" rowTo="31"/>
      <hiddenRange rowFrom="33" rowTo="35"/>
      <hiddenRange rowFrom="38" rowTo="38"/>
      <hiddenRange rowFrom="41" rowTo="41"/>
      <hiddenRange rowFrom="43" rowTo="48"/>
    </filterData>
    <filterData filterID="AKRFnkkUtoTSeyJs:019040">
      <hiddenRange rowFrom="2" rowTo="19"/>
      <hiddenRange rowFrom="22" rowTo="22"/>
      <hiddenRange rowFrom="27" rowTo="45"/>
      <hiddenRange rowFrom="48" rowTo="75"/>
    </filterData>
    <filterData filterID="AKRFnkkUtoTSeyJs:K1102051">
      <hiddenRange rowFrom="2" rowTo="8"/>
      <hiddenRange rowFrom="10" rowTo="12"/>
      <hiddenRange rowFrom="15" rowTo="26"/>
      <hiddenRange rowFrom="28" rowTo="42"/>
      <hiddenRange rowFrom="44" rowTo="75"/>
    </filterData>
    <filterData filterID="AKRFnkkUtoTSeyJs:019375">
      <hiddenRange rowFrom="2" rowTo="15"/>
      <hiddenRange rowFrom="18" rowTo="23"/>
      <hiddenRange rowFrom="26" rowTo="54"/>
    </filterData>
    <filterData filterID="AKRFnkkUtoTSeyJs:020057">
      <hiddenRange rowFrom="3" rowTo="5"/>
      <hiddenRange rowFrom="7" rowTo="34"/>
      <hiddenRange rowFrom="36" rowTo="48"/>
      <hiddenRange rowFrom="51" rowTo="75"/>
    </filterData>
    <filterData filterID="AKRFnkkUtoTSeyJs:020013">
      <hiddenRange rowFrom="2" rowTo="9"/>
      <hiddenRange rowFrom="11" rowTo="11"/>
      <hiddenRange rowFrom="13" rowTo="14"/>
      <hiddenRange rowFrom="16" rowTo="19"/>
      <hiddenRange rowFrom="22" rowTo="22"/>
      <hiddenRange rowFrom="27" rowTo="39"/>
      <hiddenRange rowFrom="42" rowTo="45"/>
      <hiddenRange rowFrom="48" rowTo="54"/>
    </filterData>
    <filterData filterID="AKRFnkkUtoTSeyJs:024868"/>
    <filterData filterID="AKRFnkkUtoTSeyJs:016900">
      <hiddenRange rowFrom="2" rowTo="9"/>
      <hiddenRange rowFrom="11" rowTo="11"/>
      <hiddenRange rowFrom="13" rowTo="14"/>
      <hiddenRange rowFrom="16" rowTo="19"/>
      <hiddenRange rowFrom="22" rowTo="22"/>
      <hiddenRange rowFrom="27" rowTo="39"/>
      <hiddenRange rowFrom="42" rowTo="45"/>
      <hiddenRange rowFrom="48" rowTo="54"/>
    </filterData>
    <filterData filterID="AKRFnkkUtoTSeyJs:017573">
      <hiddenRange rowFrom="2" rowTo="8"/>
      <hiddenRange rowFrom="10" rowTo="12"/>
      <hiddenRange rowFrom="14" rowTo="23"/>
      <hiddenRange rowFrom="26" rowTo="42"/>
      <hiddenRange rowFrom="44" rowTo="54"/>
    </filterData>
    <filterData filterID="AKRFnkkUtoTSeyJs:018458">
      <hiddenRange rowFrom="2" rowTo="8"/>
      <hiddenRange rowFrom="10" rowTo="12"/>
      <hiddenRange rowFrom="14" rowTo="23"/>
      <hiddenRange rowFrom="26" rowTo="42"/>
      <hiddenRange rowFrom="44" rowTo="54"/>
    </filterData>
    <filterData filterID="AKRFnkkUtoTSeyJs:016882">
      <hiddenRange rowFrom="2" rowTo="2"/>
      <hiddenRange rowFrom="9" rowTo="9"/>
      <hiddenRange rowFrom="11" rowTo="11"/>
      <hiddenRange rowFrom="13" rowTo="13"/>
      <hiddenRange rowFrom="16" rowTo="20"/>
      <hiddenRange rowFrom="22" rowTo="22"/>
      <hiddenRange rowFrom="26" rowTo="27"/>
      <hiddenRange rowFrom="30" rowTo="31"/>
      <hiddenRange rowFrom="33" rowTo="34"/>
      <hiddenRange rowFrom="38" rowTo="41"/>
      <hiddenRange rowFrom="43" rowTo="48"/>
    </filterData>
    <filterData filterID="AKRFnkkUtoTSeyJs:018386">
      <hiddenRange rowFrom="2" rowTo="2"/>
      <hiddenRange rowFrom="9" rowTo="9"/>
      <hiddenRange rowFrom="11" rowTo="12"/>
      <hiddenRange rowFrom="15" rowTo="19"/>
      <hiddenRange rowFrom="22" rowTo="22"/>
      <hiddenRange rowFrom="26" rowTo="28"/>
      <hiddenRange rowFrom="30" rowTo="31"/>
      <hiddenRange rowFrom="33" rowTo="35"/>
      <hiddenRange rowFrom="38" rowTo="41"/>
      <hiddenRange rowFrom="46" rowTo="47"/>
    </filterData>
    <filterData filterID="AKRFnkkUtoTSeyJs:018303"/>
    <filterData filterID="AKRFnkkUtoTSeyJs:012729"/>
    <filterData filterID="AKRFnkkUtoTSeyJs:017436">
      <hiddenRange rowFrom="8" rowTo="10"/>
      <hiddenRange rowFrom="12" rowTo="13"/>
      <hiddenRange rowFrom="15" rowTo="15"/>
      <hiddenRange rowFrom="17" rowTo="17"/>
      <hiddenRange rowFrom="20" rowTo="21"/>
      <hiddenRange rowFrom="23" rowTo="23"/>
      <hiddenRange rowFrom="26" rowTo="27"/>
      <hiddenRange rowFrom="35" rowTo="35"/>
      <hiddenRange rowFrom="39" rowTo="41"/>
      <hiddenRange rowFrom="43" rowTo="43"/>
      <hiddenRange rowFrom="46" rowTo="52"/>
      <hiddenRange rowFrom="54" rowTo="54"/>
    </filterData>
    <filterData filterID="AKRFnkkUtoTSeyJs:023824">
      <hiddenRange rowFrom="2" rowTo="8"/>
      <hiddenRange rowFrom="10" rowTo="12"/>
      <hiddenRange rowFrom="15" rowTo="26"/>
      <hiddenRange rowFrom="28" rowTo="42"/>
      <hiddenRange rowFrom="44" rowTo="54"/>
    </filterData>
    <filterData filterID="AKRFnkkUtoTSeyJs:019503">
      <hiddenRange rowFrom="2" rowTo="9"/>
      <hiddenRange rowFrom="11" rowTo="11"/>
      <hiddenRange rowFrom="13" rowTo="14"/>
      <hiddenRange rowFrom="16" rowTo="18"/>
      <hiddenRange rowFrom="20" rowTo="36"/>
      <hiddenRange rowFrom="38" rowTo="39"/>
      <hiddenRange rowFrom="43" rowTo="54"/>
    </filterData>
    <filterData filterID="AKRFnkkUtoTSeyJs:015964"/>
    <filterData filterID="AKRFnkkUtoTSeyJs:019908"/>
    <filterData filterID="AKRFnkkUtoTSeyJs:017444">
      <hiddenRange rowFrom="5" rowTo="6"/>
      <hiddenRange rowFrom="9" rowTo="16"/>
      <hiddenRange rowFrom="18" rowTo="21"/>
      <hiddenRange rowFrom="23" rowTo="30"/>
      <hiddenRange rowFrom="35" rowTo="44"/>
      <hiddenRange rowFrom="46" rowTo="51"/>
      <hiddenRange rowFrom="53" rowTo="54"/>
    </filterData>
    <filterData filterID="AKRFnkkUtoTSeyJs:010713"/>
    <filterData filterID="AKRFnkkUtoTSeyJs:017833"/>
    <filterData filterID="AKRFnkkUtoTSeyJs:K1101894">
      <hiddenRange rowFrom="2" rowTo="5"/>
      <hiddenRange rowFrom="7" rowTo="34"/>
      <hiddenRange rowFrom="36" rowTo="48"/>
      <hiddenRange rowFrom="51" rowTo="75"/>
    </filterData>
    <autofilterInfo filterID="AKRFnkkUtoTSeyJs:K1101894">
      <autoFilter xmlns="http://schemas.openxmlformats.org/spreadsheetml/2006/main" ref="A2:X76">
        <filterColumn colId="10">
          <customFilters>
            <customFilter operator="equal" val="姜玉珠"/>
          </customFilters>
        </filterColumn>
      </autoFilter>
    </autofilterInfo>
    <autofilterInfo filterID="AKRFnkkUtoTSeyJs:025172">
      <autoFilter xmlns="http://schemas.openxmlformats.org/spreadsheetml/2006/main" ref="A2:X76">
        <filterColumn colId="9">
          <customFilters>
            <customFilter operator="equal" val="估值及风险计量"/>
          </customFilters>
        </filterColumn>
      </autoFilter>
    </autofilterInfo>
    <autofilterInfo filterID="AKRFnkkUtoTSeyJs:019747">
      <autoFilter xmlns="http://schemas.openxmlformats.org/spreadsheetml/2006/main" ref="A2:X76">
        <filterColumn colId="7">
          <customFilters>
            <customFilter operator="equal" val="胡于凡"/>
          </customFilters>
        </filterColumn>
      </autoFilter>
    </autofilterInfo>
    <autofilterInfo filterID="AKRFnkkUtoTSeyJs:018458">
      <autoFilter xmlns="http://schemas.openxmlformats.org/spreadsheetml/2006/main" ref="A2:X76">
        <filterColumn colId="9">
          <customFilters>
            <customFilter operator="equal" val="估值及风险计量"/>
          </customFilters>
        </filterColumn>
      </autoFilter>
    </autofilterInfo>
    <autofilterInfo filterID="AKRFnkkUtoTSeyJs:018386">
      <autoFilter xmlns="http://schemas.openxmlformats.org/spreadsheetml/2006/main" ref="A2:X76">
        <filterColumn colId="9">
          <customFilters>
            <customFilter operator="equal" val="交易"/>
          </customFilters>
        </filterColumn>
      </autoFilter>
    </autofilterInfo>
    <autofilterInfo filterID="AKRFnkkUtoTSeyJs:016882">
      <autoFilter xmlns="http://schemas.openxmlformats.org/spreadsheetml/2006/main" ref="A2:X76">
        <filterColumn colId="9">
          <customFilters>
            <customFilter operator="equal" val="估值及风险计量"/>
          </customFilters>
        </filterColumn>
      </autoFilter>
    </autofilterInfo>
    <autofilterInfo filterID="AKRFnkkUtoTSeyJs:K1102051">
      <autoFilter xmlns="http://schemas.openxmlformats.org/spreadsheetml/2006/main" ref="A2:X76">
        <filterColumn colId="10">
          <customFilters>
            <customFilter operator="equal" val="刘佩金"/>
          </customFilters>
        </filterColumn>
      </autoFilter>
    </autofilterInfo>
    <autofilterInfo filterID="AKRFnkkUtoTSeyJs:019040">
      <autoFilter xmlns="http://schemas.openxmlformats.org/spreadsheetml/2006/main" ref="A2:X76">
        <filterColumn colId="7">
          <customFilters>
            <customFilter operator="equal" val="夏清"/>
          </customFilters>
        </filterColumn>
        <filterColumn colId="10">
          <customFilters>
            <customFilter operator="equal" val="夏清"/>
          </customFilters>
        </filterColumn>
      </autoFilter>
    </autofilterInfo>
    <autofilterInfo filterID="AKRFnkkUtoTSeyJs:023824">
      <autoFilter xmlns="http://schemas.openxmlformats.org/spreadsheetml/2006/main" ref="A2:X76">
        <filterColumn colId="10">
          <customFilters>
            <customFilter operator="equal" val="刘佩金"/>
          </customFilters>
        </filterColumn>
      </autoFilter>
    </autofilterInfo>
    <autofilterInfo filterID="AKRFnkkUtoTSeyJs:017436">
      <autoFilter xmlns="http://schemas.openxmlformats.org/spreadsheetml/2006/main" ref="A2:X76">
        <filterColumn colId="9">
          <customFilters>
            <customFilter operator="equal" val="交易"/>
            <customFilter operator="equal" val="数据服务"/>
          </customFilters>
        </filterColumn>
      </autoFilter>
    </autofilterInfo>
    <autofilterInfo filterID="AKRFnkkUtoTSeyJs:019503">
      <autoFilter xmlns="http://schemas.openxmlformats.org/spreadsheetml/2006/main" ref="A2:X76">
        <filterColumn colId="10">
          <customFilters>
            <customFilter operator="equal" val="胡于凡"/>
          </customFilters>
        </filterColumn>
      </autoFilter>
    </autofilterInfo>
    <autofilterInfo filterID="AKRFnkkUtoTSeyJs:017444">
      <autoFilter xmlns="http://schemas.openxmlformats.org/spreadsheetml/2006/main" ref="A2:X76">
        <filterColumn colId="10">
          <filters>
            <filter val="吴克易琼/钱高翔/夏清/胡于凡/姜玉珠"/>
            <filter val="钱高翔"/>
            <filter val="钱高翔/朱泓飞"/>
          </filters>
        </filterColumn>
      </autoFilter>
    </autofilterInfo>
    <autofilterInfo filterID="AKRFnkkUtoTSeyJs:019375">
      <autoFilter xmlns="http://schemas.openxmlformats.org/spreadsheetml/2006/main" ref="A2:X76">
        <filterColumn colId="4">
          <customFilters>
            <customFilter operator="equal" val="自营业务中心"/>
          </customFilters>
        </filterColumn>
      </autoFilter>
    </autofilterInfo>
    <autofilterInfo filterID="AKRFnkkUtoTSeyJs:017573">
      <autoFilter xmlns="http://schemas.openxmlformats.org/spreadsheetml/2006/main" ref="A2:X76">
        <filterColumn colId="9">
          <customFilters>
            <customFilter operator="equal" val="估值及风险计量"/>
          </customFilters>
        </filterColumn>
      </autoFilter>
    </autofilterInfo>
    <autofilterInfo filterID="AKRFnkkUtoTSeyJs:012191">
      <autoFilter xmlns="http://schemas.openxmlformats.org/spreadsheetml/2006/main" ref="A2:X76">
        <filterColumn colId="9">
          <customFilters>
            <customFilter operator="equal" val="客需/交易后"/>
          </customFilters>
        </filterColumn>
      </autoFilter>
    </autofilterInfo>
    <autofilterInfo filterID="AKRFnkkUtoTSeyJs:019227">
      <autoFilter xmlns="http://schemas.openxmlformats.org/spreadsheetml/2006/main" ref="A2:X76">
        <filterColumn colId="8">
          <customFilters>
            <customFilter operator="equal" val="毕成功"/>
          </customFilters>
        </filterColumn>
      </autoFilter>
    </autofilterInfo>
    <autofilterInfo filterID="AKRFnkkUtoTSeyJs:020057">
      <autoFilter xmlns="http://schemas.openxmlformats.org/spreadsheetml/2006/main" ref="A2:X76">
        <filterColumn colId="10">
          <customFilters>
            <customFilter operator="equal" val="姜玉珠"/>
            <customFilter operator="equal" val="吴克易琼/钱高翔/夏清/胡于凡/姜玉珠"/>
          </customFilters>
        </filterColumn>
      </autoFilter>
    </autofilterInfo>
    <autofilterInfo filterID="AKRFnkkUtoTSeyJs:020013">
      <autoFilter xmlns="http://schemas.openxmlformats.org/spreadsheetml/2006/main" ref="A2:X76">
        <filterColumn colId="9">
          <customFilters>
            <customFilter operator="equal" val="客需/交易后"/>
          </customFilters>
        </filterColumn>
      </autoFilter>
    </autofilterInfo>
    <autofilterInfo filterID="AKRFnkkUtoTSeyJs:016900">
      <autoFilter xmlns="http://schemas.openxmlformats.org/spreadsheetml/2006/main" ref="A2:X76">
        <filterColumn colId="9">
          <customFilters>
            <customFilter operator="equal" val="客需/交易后"/>
          </customFilters>
        </filterColumn>
      </autoFilter>
    </autofilterInfo>
    <autofilterInfo filterID="AKRFnkkUtoTSeyJs:018896">
      <autoFilter xmlns="http://schemas.openxmlformats.org/spreadsheetml/2006/main" ref="A2:X76">
        <filterColumn colId="10">
          <customFilters>
            <customFilter operator="equal" val="刘佩金"/>
          </customFilters>
        </filterColumn>
      </autoFilter>
    </autofilterInfo>
  </sheetItem>
  <sheetItem sheetStid="4">
    <filterData filterID="AKRFnkkUtoTSeyJs:023824"/>
    <filterData filterID="AKRFnkkUtoTSeyJs:020057">
      <hiddenRange rowFrom="3" rowTo="7"/>
      <hiddenRange rowFrom="9" rowTo="12"/>
      <hiddenRange rowFrom="14" rowTo="20"/>
      <hiddenRange rowFrom="22" rowTo="28"/>
      <hiddenRange rowFrom="30" rowTo="35"/>
    </filterData>
    <filterData filterID="AKRFnkkUtoTSeyJs:015964"/>
    <filterData filterID="AKRFnkkUtoTSeyJs:019503"/>
    <filterData filterID="AKRFnkkUtoTSeyJs:019040">
      <hiddenRange rowFrom="3" rowTo="3"/>
      <hiddenRange rowFrom="5" rowTo="5"/>
      <hiddenRange rowFrom="7" rowTo="8"/>
      <hiddenRange rowFrom="14" rowTo="35"/>
    </filterData>
    <autofilterInfo filterID="AKRFnkkUtoTSeyJs:019040">
      <autoFilter xmlns="http://schemas.openxmlformats.org/spreadsheetml/2006/main" ref="A3:P36">
        <filterColumn colId="1">
          <customFilters>
            <customFilter operator="equal" val="赵翰卿"/>
          </customFilters>
        </filterColumn>
      </autoFilter>
    </autofilterInfo>
    <autofilterInfo filterID="AKRFnkkUtoTSeyJs:020057">
      <autoFilter xmlns="http://schemas.openxmlformats.org/spreadsheetml/2006/main" ref="A3:P36">
        <filterColumn colId="6">
          <customFilters>
            <customFilter operator="equal" val="姜玉珠"/>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5.xml><?xml version="1.0" encoding="utf-8"?>
<pixelators xmlns="https://web.wps.cn/et/2018/main" xmlns:s="http://schemas.openxmlformats.org/spreadsheetml/2006/main">
  <pixelatorList sheetStid="1"/>
  <pixelatorList sheetStid="3"/>
  <pixelatorList sheetStid="4"/>
  <pixelatorList sheetStid="6"/>
  <pixelatorList sheetStid="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76a6740-a502-43ae-9f28-c9e454320052}">
  <ds:schemaRefs>
    <ds:schemaRef ds:uri="http://www.wps.cn/et/2023/dataValidationExt"/>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4</vt:i4>
      </vt:variant>
    </vt:vector>
  </HeadingPairs>
  <TitlesOfParts>
    <vt:vector size="4" baseType="lpstr">
      <vt:lpstr>0307-需求列表</vt:lpstr>
      <vt:lpstr>需求澄清列表</vt:lpstr>
      <vt:lpstr>验收列表</vt:lpstr>
      <vt:lpstr>排期晾晒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021227</dc:creator>
  <cp:lastModifiedBy>021227</cp:lastModifiedBy>
  <dcterms:created xsi:type="dcterms:W3CDTF">2022-10-05T13:43:00Z</dcterms:created>
  <dcterms:modified xsi:type="dcterms:W3CDTF">2022-10-05T13:43:00Z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fileWhereFroms">
    <vt:lpwstr>PpjeLB1gRN0lwrPqMaCTki8duE/jANHZZir77xapMyReoNF4Cn0bnoIj/l4R1lk3x60yLW3bonMIZXhW9eOuQSKwwMXkSqioR7IohD7JHiKL1Kex5PfDuKQOg5o6epURpTfP/dk98wL0gSLKiNPuw2I1d5mqizvK0etAnhWygh7/L/uczoU8dnKqZ2n9hMl/08TlSTgT4gsLfsj4N5qnfHg08FCEbzCvQxRYqKX+AwlZJn9YV8x5Pf5zAXGgHCEgjEc88avIB/Ejf/zn6pmRiN4rF/NHnLDften8VfnmrDloa4JbpC4BKmMIpqBKopiEZHzRX58Wq13dQ/WBK6IMZe28z3wScGY83+dtpYlKcy+QS4kXgIl2ArLQcFT/k8xCYZrmA6+TR/BC+YhI5NAPA3XjSrCDIMrnnzAXgPo8qh4=</vt:lpwstr>
  </property>
</Properties>
</file>