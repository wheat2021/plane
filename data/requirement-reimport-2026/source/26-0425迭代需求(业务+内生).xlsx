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infos.xml" ContentType="application/vnd.wps-officedocument.woinfo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865" activeTab="1"/>
  </bookViews>
  <sheets>
    <sheet name="0425-需求列表" sheetId="1" r:id="rId1"/>
    <sheet name="需求澄清列表" sheetId="3" r:id="rId2"/>
    <sheet name="验收列表" sheetId="4" r:id="rId3"/>
    <sheet name="排期晾晒" sheetId="6" r:id="rId4"/>
  </sheets>
  <definedNames>
    <definedName name="_xlnm._FilterDatabase" localSheetId="0" hidden="1">'0425-需求列表'!$A$1:$U$60</definedName>
    <definedName name="_xlnm._FilterDatabase" localSheetId="1" hidden="1">需求澄清列表!$A$2:$X$73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<sst xmlns="http://schemas.openxmlformats.org/spreadsheetml/2006/main" count="1591" uniqueCount="563">
  <si>
    <t>所属部门</t>
  </si>
  <si>
    <t>需求编号</t>
  </si>
  <si>
    <t>需求名</t>
  </si>
  <si>
    <t>需求描述</t>
  </si>
  <si>
    <t>境内/外类别</t>
  </si>
  <si>
    <t>一级分类
(品种分类)</t>
  </si>
  <si>
    <t>二级分类
（品种子类型）</t>
  </si>
  <si>
    <t>三级分类(模块)</t>
  </si>
  <si>
    <t>所属中心</t>
  </si>
  <si>
    <t>所属团队</t>
  </si>
  <si>
    <t>需求提出人</t>
  </si>
  <si>
    <t>固收产品经理</t>
  </si>
  <si>
    <t>优先级</t>
  </si>
  <si>
    <t>IT产品经理
（牵头）</t>
  </si>
  <si>
    <t>IT技术负责人
（牵头）</t>
  </si>
  <si>
    <t>重点项目标签</t>
  </si>
  <si>
    <t>需求是否准入</t>
  </si>
  <si>
    <t>是否纳入交付</t>
  </si>
  <si>
    <t>预估迭代</t>
  </si>
  <si>
    <t>【0425迭代】交付内容</t>
  </si>
  <si>
    <t>备注</t>
  </si>
  <si>
    <t>固定收益部</t>
  </si>
  <si>
    <t>FICCHEADS-1127</t>
  </si>
  <si>
    <t>境外债券支持配置汇率敞口算法</t>
  </si>
  <si>
    <t>支持境外债券合约的汇率敞口的灵活配置和计算，满足客户对于汇率浮动所导致的本金损益精细化管理的诉求</t>
  </si>
  <si>
    <t>境内</t>
  </si>
  <si>
    <t>场外衍生品</t>
  </si>
  <si>
    <t>场外收益互换</t>
  </si>
  <si>
    <t>场外</t>
  </si>
  <si>
    <t>代客业务中心</t>
  </si>
  <si>
    <t>褚悦珊</t>
  </si>
  <si>
    <t>在研-优先级0</t>
  </si>
  <si>
    <t>夏清</t>
  </si>
  <si>
    <t>张弦</t>
  </si>
  <si>
    <t>无</t>
  </si>
  <si>
    <t>是</t>
  </si>
  <si>
    <t>预计0425迭代完成交付</t>
  </si>
  <si>
    <t>支持境外债券合约汇率敞口配置和计算</t>
  </si>
  <si>
    <t>技术负责人在【3-4日】已确认</t>
  </si>
  <si>
    <t>FICCHEADS-1124</t>
  </si>
  <si>
    <t>境外债TRS付息/资金流水自动生成</t>
  </si>
  <si>
    <t>支持境外债TRS（包括中资美元债、点心债等）自动生成债券付息资金流水与交易流水，具体包括：
1）合约簿记增加派息规则等字段
2）自动生成付息要素
3）生成付息交易流水
4）生成资金流水</t>
  </si>
  <si>
    <t>互换</t>
  </si>
  <si>
    <t>支持境外债TRS自动生成债券付息资金流水与交易流水</t>
  </si>
  <si>
    <t>香港金控FICC</t>
  </si>
  <si>
    <t>FICCHEADS-1167</t>
  </si>
  <si>
    <t>TARF平台建设</t>
  </si>
  <si>
    <t>境外</t>
  </si>
  <si>
    <t>TARF</t>
  </si>
  <si>
    <t>交易簿记</t>
  </si>
  <si>
    <t>外汇产品团队</t>
  </si>
  <si>
    <t>陈思宇</t>
  </si>
  <si>
    <t>刘佩金</t>
  </si>
  <si>
    <t>张天翼</t>
  </si>
  <si>
    <t>【Calypso下线项目】Tarf簿记</t>
  </si>
  <si>
    <t>支持FXspot合约的估值/风险计量相关内容</t>
  </si>
  <si>
    <t>技术负责人在【3-3日】已确认</t>
  </si>
  <si>
    <t>FICCHEADS-1180</t>
  </si>
  <si>
    <t>港交所外汇期货做市交易系统建设需求说明书</t>
  </si>
  <si>
    <t>外汇</t>
  </si>
  <si>
    <t>外汇期货</t>
  </si>
  <si>
    <t>交易链路</t>
  </si>
  <si>
    <t>做市业务中心</t>
  </si>
  <si>
    <t>外汇做市台</t>
  </si>
  <si>
    <t>赵鸿达</t>
  </si>
  <si>
    <t>吴克易琼</t>
  </si>
  <si>
    <t>王轮樟</t>
  </si>
  <si>
    <t>【海外交易能力建设】香港外汇期货做市项目</t>
  </si>
  <si>
    <t>预计0613迭代之后完成交付</t>
  </si>
  <si>
    <t>启动对冲侧交易链路相关功能开发</t>
  </si>
  <si>
    <t>技术负责人在【2-27日】已确认</t>
  </si>
  <si>
    <t>FICCHEADS-873</t>
  </si>
  <si>
    <t>IRS交易支持对接xswap实现线上对冲</t>
  </si>
  <si>
    <t>目前场外衍生品平台TRS的IRS品种对客交易，客户主要是通过线下与我们达成交易，交易效率低，后续通过大象平台TRS对冲端直连X-Swap平台，客户可以直接线上看到X-Swap价格（加点）进行成交，能大幅提升交易量。目前TRS支持债券通过X-Bond的成交模式。</t>
  </si>
  <si>
    <t>支持IRS通过xswap平台进行线上对冲</t>
  </si>
  <si>
    <t>技术负责人在【3-6日】已确认</t>
  </si>
  <si>
    <t>FICCHEADS-1097</t>
  </si>
  <si>
    <t>境外债自营风控优化需求</t>
  </si>
  <si>
    <t>债券</t>
  </si>
  <si>
    <t>南向通债券</t>
  </si>
  <si>
    <t>交易风控</t>
  </si>
  <si>
    <t>风险合规中心</t>
  </si>
  <si>
    <t>风险管理团队</t>
  </si>
  <si>
    <t>曾慧聪</t>
  </si>
  <si>
    <t>戚挺</t>
  </si>
  <si>
    <t>支持关联SOFR和SOFR Index的浮息债风险损益计量</t>
  </si>
  <si>
    <t>FICCHEADS-1136</t>
  </si>
  <si>
    <t>其他债权投资和持有至到期损益计算逻辑优化</t>
  </si>
  <si>
    <t>综合</t>
  </si>
  <si>
    <t>风险管理</t>
  </si>
  <si>
    <t>业务报表</t>
  </si>
  <si>
    <t>姚忠兵</t>
  </si>
  <si>
    <t>支持风控日报、盈亏监控等对摊余成本法计量债券的支持</t>
  </si>
  <si>
    <t>FICCHEADS-812</t>
  </si>
  <si>
    <t>监管报表-现券和回购偏离度报表完善需求V2</t>
  </si>
  <si>
    <t>对监管报表中，细分的“现券和回购偏离度报表”进行有关完善。</t>
  </si>
  <si>
    <t>陈治平</t>
  </si>
  <si>
    <t>支持生成偏离度月报</t>
  </si>
  <si>
    <t>FICCHEADS-1140</t>
  </si>
  <si>
    <t>债券ETF业务系统需求说明书（二期）：二级交易</t>
  </si>
  <si>
    <t>实现债券ETF交易链路建设中二级交易功能。</t>
  </si>
  <si>
    <t>基金</t>
  </si>
  <si>
    <t>债券ETF</t>
  </si>
  <si>
    <t>自营业务中心</t>
  </si>
  <si>
    <t>信用交易台</t>
  </si>
  <si>
    <t>韩玲</t>
  </si>
  <si>
    <t>预计0613迭代完成交付</t>
  </si>
  <si>
    <t>1、交付风控规则：DVBP、单笔交易规模、资产持仓限额；
2、标的池：
标的池规则；
3、月度授权
支持债券ETF的风控规则通过月度授权生成（启动开发）；</t>
  </si>
  <si>
    <t>FICCHEADS-1189</t>
  </si>
  <si>
    <t>美国国债做市系统需求</t>
  </si>
  <si>
    <t>1. 对冲端连接城堡基金接口， 接入对冲端渠道的行情信息
2. 报价端连接彭博等渠道，策略报价能够报至ALLQ等渠道
3. 大象报价面板支持进行对美国国债的策略报价和策略对冲平盘
4. 大象询价回复面板和类似功能支持进行客户询价的策略/人工询价回复
5. 支持查询订单、成交、持仓、PnL、风险等相关报表信息</t>
  </si>
  <si>
    <t>美国国债</t>
  </si>
  <si>
    <t>外币债券做市台</t>
  </si>
  <si>
    <t>完成需求方案设计与中心内部评审，与业务侧及对接系统方确认最终方案</t>
  </si>
  <si>
    <t>FICCHEADS-1194</t>
  </si>
  <si>
    <t>金控FICC期货（港交所外汇期货）前台交易簿记需求</t>
  </si>
  <si>
    <t>本需求为前台交易簿记需求，针对港交所外汇期货所涉及的前台交易簿记，拟进行整体建设，包括交易簿记、持仓管理、风险管理、估值模型及现金流计算、账户管理等。</t>
  </si>
  <si>
    <t>期货</t>
  </si>
  <si>
    <t>大象平台产品团队</t>
  </si>
  <si>
    <t>FICCHEADS-1149</t>
  </si>
  <si>
    <t>债券增值税现金流自动生成</t>
  </si>
  <si>
    <t>自2025年8月8日起，财政部、税务总局将对在该日期之后（含当日）新发行的国债、地方政府债券、金融债券的利息收入，恢复征收增值税。需要对系统功能进行改造，以生成增值税费用现金流需支持推送运营中心复核</t>
  </si>
  <si>
    <t>交易管理</t>
  </si>
  <si>
    <t>宏观产品团队</t>
  </si>
  <si>
    <t>支持债券增值税率配置和增值税费用现金流生成并推送运营中心</t>
  </si>
  <si>
    <t>FICCHEADS-1197</t>
  </si>
  <si>
    <t>外币回购大象开发需求</t>
  </si>
  <si>
    <t>新开发外币回购业务模块，但需求目前还在审核，尚未提交</t>
  </si>
  <si>
    <t>回购</t>
  </si>
  <si>
    <t>外币回购</t>
  </si>
  <si>
    <t>流动性管理中心</t>
  </si>
  <si>
    <t>—</t>
  </si>
  <si>
    <t>成楠</t>
  </si>
  <si>
    <t>完成质押券数量、单笔交易金额、回购期限风控规则交付，及成交确认模块交付</t>
  </si>
  <si>
    <t>技术负责人在【3-5日】已确认</t>
  </si>
  <si>
    <t>FICCHEADS-1110</t>
  </si>
  <si>
    <t>OCI账户持仓减值计算方案调整需求说明书</t>
  </si>
  <si>
    <t>对以摊余成本计量的债券、以公允价值计量且其变动计入其他综合收益的债券的减值计算方法进行调整。</t>
  </si>
  <si>
    <t>账户管理</t>
  </si>
  <si>
    <t>自营交易五台</t>
  </si>
  <si>
    <t>自营业务中心优先级1</t>
  </si>
  <si>
    <t>预计0523迭代完成交付</t>
  </si>
  <si>
    <t>减值计算报表</t>
  </si>
  <si>
    <t>FICCHEADS-1175</t>
  </si>
  <si>
    <t>股指期货预埋触发单功能（重提）</t>
  </si>
  <si>
    <t>大象支持时间条件、价格条件等智能条件算法</t>
  </si>
  <si>
    <t>股指期货</t>
  </si>
  <si>
    <t>自营交易七台</t>
  </si>
  <si>
    <t>武晨宇</t>
  </si>
  <si>
    <t>自营业务中心优先级2</t>
  </si>
  <si>
    <t>钱高翔</t>
  </si>
  <si>
    <t>否</t>
  </si>
  <si>
    <t>本迭代无法启动后续重新排期</t>
  </si>
  <si>
    <t>【不纳入说明】：本迭代工作量饱和，无法纳入更多需求</t>
  </si>
  <si>
    <t>FICCHEADS-1192</t>
  </si>
  <si>
    <t>商品期权做市大象相关组合管理、风险建设需求</t>
  </si>
  <si>
    <t>为配合使用自主研发的低延时商品期权做市系统（xtrader）替代同余这一外采系统，提升交易性能与响应效率，我们提出大象相关组合管理、风险建设需求。
本需求包括配合商品期权做市开展所涉及大象系统的用户权限管理、风险参数配置、成交以及组合风险分析相关的数据同步与报表计算展示等内容</t>
  </si>
  <si>
    <t>期权</t>
  </si>
  <si>
    <t>商品期权</t>
  </si>
  <si>
    <t>利率衍生品交易台</t>
  </si>
  <si>
    <t>许可</t>
  </si>
  <si>
    <t>FICCHEADS-1188</t>
  </si>
  <si>
    <t>多资产组合交易功能开发需求</t>
  </si>
  <si>
    <t>多资产组合交易是指客户同时交易场外期权和收益互换等资产组合的交易场景。平台支持业务人员配置客户组合交易簿，并支持组合实时风险盯市、交易事前风控、资金管理及出入金推送运营等功能，在满足业务风险管控要求的同时，进一步提升客户资金使用效率，实现对客户多资产组合交易的业务全流程闭环管理。</t>
  </si>
  <si>
    <t>多资产</t>
  </si>
  <si>
    <t>FICCHEADS-983</t>
  </si>
  <si>
    <t>支持产品更换管理人功能</t>
  </si>
  <si>
    <t>在年度资质更新场景支持前端增加产品切换管理人/管理人平移的选项，系统不固定管理人ECIFID，根据流程中填写的管理人重新派发ID。办结后系统更新产品所属管理人的关系。</t>
  </si>
  <si>
    <t>销售业务</t>
  </si>
  <si>
    <t>销售管理</t>
  </si>
  <si>
    <t>销售业务中心</t>
  </si>
  <si>
    <t>代客销售团队</t>
  </si>
  <si>
    <t>胡于凡</t>
  </si>
  <si>
    <t>【不纳入说明】：该需求需要OB配合改造，OB侧方案和排期未定</t>
  </si>
  <si>
    <t>该需求需要OB配合改造，OB侧方案和排期未定</t>
  </si>
  <si>
    <t>FICCHEADS-955</t>
  </si>
  <si>
    <t>票据业务持仓占用规则调整</t>
  </si>
  <si>
    <t>将票据业务持仓额度占用纳入固收常规限额体系内。</t>
  </si>
  <si>
    <t>票据</t>
  </si>
  <si>
    <t>转贴现和正回购</t>
  </si>
  <si>
    <t>流动性管理中心1</t>
  </si>
  <si>
    <t>FICCHEADS-1177</t>
  </si>
  <si>
    <t>票据支持部分成交场景</t>
  </si>
  <si>
    <t>支持中央交易室执行人员在交易执行环节反馈部分成交的场景，由交易员确认成交后更新可用额度</t>
  </si>
  <si>
    <t>交易后</t>
  </si>
  <si>
    <t>流动性管理中心2</t>
  </si>
  <si>
    <t>FICCHEADS-1202</t>
  </si>
  <si>
    <t>REITs和信托品种在大象展示及查询</t>
  </si>
  <si>
    <t>目前，REITs和信托品种已在O32系统中进行相关簿记。为实现REITs及信托品种的统一管理与风险监控，大象系统每日日初同步衡泰和O32的持仓数据时，需将Reits和信托品种的持仓数据纳入，并实现在持仓管理、授权额度管理、盈亏监控等界面进行持仓展示、限额占用和损益计算，以支持集中化的监控与决策。</t>
  </si>
  <si>
    <t>王逸</t>
  </si>
  <si>
    <t>风险合规中心1</t>
  </si>
  <si>
    <t>FICCHEADS-1200</t>
  </si>
  <si>
    <t>关于CAMS评级数据批量查询功能的开发</t>
  </si>
  <si>
    <t>该需求的核心开发为，新建一个独立界面以满足CAMS评级数据批量查询的功能，该界面置于Headsbos中的“证券池管理”下属即可。数据范围为CAMS每日推送的全量债券池数据，相应的数据不做是否评级有效的筛选，只将CAMS债券池的全部数据于此界面展示。功能界面权限设定为风险管理团队全员。</t>
  </si>
  <si>
    <t>信用风险</t>
  </si>
  <si>
    <t>风险合规中心2</t>
  </si>
  <si>
    <t>待定</t>
  </si>
  <si>
    <t>FICCHEADS-1203</t>
  </si>
  <si>
    <t>大象策略管理支持配置HAB平台镜像版本</t>
  </si>
  <si>
    <t>大象非生产环境的策略运行机制支持与生产环境HAB平台镜像版本保持一致的选择。
同时，在大象交易员工作站的【策略库】新建策略，以及【策略管理】进行策略参数维护的【平台参数】中添加
【强制与生产镜像版本保持一致】勾选项：
默认勾选，这个时候策略在测试环境运行将加载与当前大象生产环境相同的HAB镜像版本。
如果用户不关注兼容性测试的时候，可以在测试环境取消勾选。这个时候，策略使用当前环境最新镜像（可能与生产环境不一致）运行。
注意，这一配置实际仅针对非生产环境大象系统生效。在生产环境，这一选项应强制勾选并且不可取消。策略在生产环境只能选择生产环境最新平台镜像版本已运行。</t>
  </si>
  <si>
    <t>平台优化</t>
  </si>
  <si>
    <t>策略研发</t>
  </si>
  <si>
    <t>科技研发中心</t>
  </si>
  <si>
    <t>量化研发团队</t>
  </si>
  <si>
    <t>非生产环境支持选择镜像版本，支持选择生产环境镜像版本</t>
  </si>
  <si>
    <t>中央交易室</t>
  </si>
  <si>
    <t>IT需求申请央20251028572539-1</t>
  </si>
  <si>
    <t>债券借贷直联本币上行</t>
  </si>
  <si>
    <t>现状：上游发大象指令到交易室交易员大象账号，交易室导出excel，导入本币
期望：上游交易员发大象指令，直连本币（类似本币的现券交易）</t>
  </si>
  <si>
    <t>借贷</t>
  </si>
  <si>
    <t>银行间借贷</t>
  </si>
  <si>
    <t>张语蕙</t>
  </si>
  <si>
    <t>持续交易链路开发工作</t>
  </si>
  <si>
    <t>资金运营部</t>
  </si>
  <si>
    <t>IT需求申请资运20251224590060-9</t>
  </si>
  <si>
    <t>外币拆借业务模块开发</t>
  </si>
  <si>
    <t>根据外币拆借业务开展的需求，开发外币拆借交易功能开发</t>
  </si>
  <si>
    <t>拆借</t>
  </si>
  <si>
    <t>外币拆借</t>
  </si>
  <si>
    <t>杨畅</t>
  </si>
  <si>
    <t>完成上行接口对接，并完成验收</t>
  </si>
  <si>
    <t>IT需求申请资运20251224590060-4</t>
  </si>
  <si>
    <t>交易所回购量化策略（从基础到进阶）</t>
  </si>
  <si>
    <t>基于对交易所回购历史数据的分析和量化策略的研究，借助金融模型分析和公司大象交易平台、AI平台赋能，完成交易所回购交易的量化策略构建。基础功能是通过模型尝试实现每日交易机会的捕捉和提示；进阶功能是尝试实现每日交易所回购的量化自动下单等。</t>
  </si>
  <si>
    <t>支持目标一的研究</t>
  </si>
  <si>
    <t>风险管理部</t>
  </si>
  <si>
    <t>IT需求申请风20250905559247</t>
  </si>
  <si>
    <t>关于风险数据集市采集固收Cube和大象系统场外业务数据的需求</t>
  </si>
  <si>
    <t>提供大象系统手工簿记行情、收益互换定义文件、预付金账户配置、保证金参数、盯市配置、交易簿参数、簿记复核状态变更等数据以及Cube系统簿记复核状态变更数据，数据具体需求详情见附件</t>
  </si>
  <si>
    <t>汪倪佳</t>
  </si>
  <si>
    <t>毕成功</t>
  </si>
  <si>
    <t>提供大象系统手工簿记行情、收益互换定义文件、预付金账户配置、保证金参数、盯市配置、交易簿参数、簿记复核状态变更等数据</t>
  </si>
  <si>
    <t>分割行，此行下方为内生性需求（含产品优化和技术内生）</t>
  </si>
  <si>
    <t>信息技术部</t>
  </si>
  <si>
    <t>对接彭博交易日历和结算日历</t>
  </si>
  <si>
    <t>完成资讯彭博交易日历和结算日历的对接，完成并行并替换</t>
  </si>
  <si>
    <t>O45迁移+交易所固收平台切换至互联网平台</t>
  </si>
  <si>
    <t>O45迁移项目</t>
  </si>
  <si>
    <t>点击成交、协商成交下单接口等调整；</t>
  </si>
  <si>
    <t>智能BI项目POC</t>
  </si>
  <si>
    <t>FICC交易平台中心</t>
  </si>
  <si>
    <t>平台架构</t>
  </si>
  <si>
    <t>月度授权流程启动迁移</t>
  </si>
  <si>
    <t>姜玉珠</t>
  </si>
  <si>
    <t>启动月度授权流程开发，但不交付</t>
  </si>
  <si>
    <t>审批监控（新）界面优化</t>
  </si>
  <si>
    <t>张俊</t>
  </si>
  <si>
    <t>审批监控（新）支持显示流程待办</t>
  </si>
  <si>
    <t>角色显示界面优化</t>
  </si>
  <si>
    <t>用户管理选择角色界面优化</t>
  </si>
  <si>
    <t xml:space="preserve"> AURORA平台优化及HAB整合</t>
  </si>
  <si>
    <t>策略管理</t>
  </si>
  <si>
    <t>FICC策略平台整合项目</t>
  </si>
  <si>
    <t>LAMP持续优化</t>
  </si>
  <si>
    <t>FICC人工智能专项项目</t>
  </si>
  <si>
    <t>完成LAMP功能优化</t>
  </si>
  <si>
    <t>境外期货交易下单支持BBG Ticker下单</t>
  </si>
  <si>
    <t>在原周期轮动台期货交易下单需求上进行优化，支持期货的彭博代码下单。</t>
  </si>
  <si>
    <t>孙玉涵</t>
  </si>
  <si>
    <t>支持境外期货通过彭博代码进行下单</t>
  </si>
  <si>
    <t>优化境外期货交易链路静态数据的对接方式</t>
  </si>
  <si>
    <t>优化境外国债期货、指数期货和利率期货的静态数据的获取方式</t>
  </si>
  <si>
    <t>吴凡</t>
  </si>
  <si>
    <t>朱泓飞</t>
  </si>
  <si>
    <t>预计0523迭代之后完成交付</t>
  </si>
  <si>
    <t>完成上游数据数据分析，评估RDS改动方案</t>
  </si>
  <si>
    <t>除IRD集群、Turingx集群外所有集群迁移job_manager</t>
  </si>
  <si>
    <t>除IRD集群外所有集群迁移job_manager</t>
  </si>
  <si>
    <t>完成除IRD集群和Turingx集群外所有集群迁移job_manager</t>
  </si>
  <si>
    <t>CBOTX交易所日终行情维护</t>
  </si>
  <si>
    <t>CBOT交易所日终行情维护</t>
  </si>
  <si>
    <t>完成CBOT结算价和收盘价维护</t>
  </si>
  <si>
    <t>迭代规划</t>
  </si>
  <si>
    <t>需求描述（0425迭代）</t>
  </si>
  <si>
    <t>研发反馈（截止日：澄清日+2个工作日）</t>
  </si>
  <si>
    <t>境内/境外</t>
  </si>
  <si>
    <t>概要（*）</t>
  </si>
  <si>
    <t>所属业务台</t>
  </si>
  <si>
    <t>IT产品经理（牵头）</t>
  </si>
  <si>
    <t>IT技术负责人（牵头）</t>
  </si>
  <si>
    <t>产品模块</t>
  </si>
  <si>
    <t>承接产品经理</t>
  </si>
  <si>
    <t>前端应用</t>
  </si>
  <si>
    <t>需求内容</t>
  </si>
  <si>
    <t>IT jira编号</t>
  </si>
  <si>
    <t>IT Jira名称</t>
  </si>
  <si>
    <t>需求文档</t>
  </si>
  <si>
    <t>需求评审</t>
  </si>
  <si>
    <t>测试要求</t>
  </si>
  <si>
    <t>交付要求</t>
  </si>
  <si>
    <t>迭代周期</t>
  </si>
  <si>
    <t>后端研发承接人</t>
  </si>
  <si>
    <t>前端研发承接人</t>
  </si>
  <si>
    <t>研发备注</t>
  </si>
  <si>
    <t>客需/交易后</t>
  </si>
  <si>
    <t>场外运营端（web）</t>
  </si>
  <si>
    <t>支持合约和交易流水要素批量修改</t>
  </si>
  <si>
    <t>FICC-92873</t>
  </si>
  <si>
    <t>【主需求】境外债券支持配置汇率敞口算法</t>
  </si>
  <si>
    <t>http://wiki.htzq.htsc.com.cn/pages/viewpage.action?pageId=455313229</t>
  </si>
  <si>
    <t>（3）3</t>
  </si>
  <si>
    <t>FICC-92874</t>
  </si>
  <si>
    <t>【主需求】境外债TRS付息/资金流水自动生成</t>
  </si>
  <si>
    <t>http://wiki.htzq.htsc.com.cn/pages/viewpage.action?pageId=437466519</t>
  </si>
  <si>
    <t>交易员工作站</t>
  </si>
  <si>
    <t xml:space="preserve">支持FXspot合约的估值/风险计量相关内容：
1.Valuation Report：估值模块增加FX SPOT估值。
2.Cash Flow List：TARF合约物理交割产生的FX SPOT合约的现金流，调用Alib结果进行展示。
</t>
  </si>
  <si>
    <t>FICC-92749</t>
  </si>
  <si>
    <t>【主需求】TARF支持FX SPOT估值及风险计量</t>
  </si>
  <si>
    <t>http://wiki.htzq.htsc.com.cn/pages/viewpage.action?pageId=459694175</t>
  </si>
  <si>
    <t>估值及风险计量</t>
  </si>
  <si>
    <t>1. Portfolio Monitor：组合监控增加FX SPOT指标计量http://wiki.htzq.htsc.com.cn/pages/viewpage.action?pageId=173003476
2.支持TARF计量的更新：http://wiki.htzq.htsc.com.cn/pages/viewpage.action?pageId=459160612
3.支持FXSpot的计量和现金流：http://wiki.htzq.htsc.com.cn/pages/viewpage.action?pageId=459169852</t>
  </si>
  <si>
    <t>FICC-92766</t>
  </si>
  <si>
    <t>【估值与风险计量】完成FXSPot估值损益现金流计量</t>
  </si>
  <si>
    <t>（4）4</t>
  </si>
  <si>
    <t>交易</t>
  </si>
  <si>
    <t>Headsbos</t>
  </si>
  <si>
    <t>资金账户支持境外场景。增加相关枚举值</t>
  </si>
  <si>
    <t>FICC-92028</t>
  </si>
  <si>
    <t>【交易-Headsbos】权限-资金账户支持境外场景</t>
  </si>
  <si>
    <t>http://wiki.htzq.htsc.com.cn/pages/viewpage.action?pageId=454751422</t>
  </si>
  <si>
    <t>（1）1</t>
  </si>
  <si>
    <t>孙大卫</t>
  </si>
  <si>
    <t>数据服务</t>
  </si>
  <si>
    <t>维护补充外汇有关标的Settlement_calendars字段内容</t>
  </si>
  <si>
    <t>FICC-93004</t>
  </si>
  <si>
    <t>【数据服务】维护补充外汇有关标的</t>
  </si>
  <si>
    <t>http://wiki.htzq.htsc.com.cn/x/5DYeGg</t>
  </si>
  <si>
    <t>1、完成做市交易链路境外本地化部署剩余工作
2、发trade request的时候，要加上currency字段，用于运营数据统计
3、启动对冲侧交易链路相关功能开发</t>
  </si>
  <si>
    <t>FICC-92559</t>
  </si>
  <si>
    <t>港交所外汇期货做市交易开发（三）</t>
  </si>
  <si>
    <t>http://wiki.htzq.htsc.com.cn/pages/viewpage.action?pageId=441280821</t>
  </si>
  <si>
    <t>（4）3</t>
  </si>
  <si>
    <t>钱高翔/朱泓飞</t>
  </si>
  <si>
    <t>对冲侧-外汇行情面板功能开发</t>
  </si>
  <si>
    <t>FICC-92895</t>
  </si>
  <si>
    <t>【数据服务-交易员工作站】港交所外汇期货做市交易对冲侧外汇行情看板功能开发</t>
  </si>
  <si>
    <t>http://wiki.htzq.htsc.com.cn/pages/viewpage.action?pageId=432902954</t>
  </si>
  <si>
    <t>场外运营端（web）,场外对客Web端</t>
  </si>
  <si>
    <t>FICC-92875</t>
  </si>
  <si>
    <t>【主需求】IRS交易支持对接xswap实现线上对冲</t>
  </si>
  <si>
    <t>http://wiki.htzq.htsc.com.cn/pages/viewpage.action?pageId=450101163</t>
  </si>
  <si>
    <t>场外对冲交易链路支持将订单发到自营xswap渠道进行对冲交易，并获取成交回报翻转对客订单</t>
  </si>
  <si>
    <t>FICC-92876</t>
  </si>
  <si>
    <t>【交易】IRS交易支持对接xswap实现线上对冲</t>
  </si>
  <si>
    <t>风险管理工作站</t>
  </si>
  <si>
    <t>FICC-92765</t>
  </si>
  <si>
    <t>【主需求】支持下游应用适配摊余成本法</t>
  </si>
  <si>
    <t>http://wiki.htzq.htsc.com.cn/pages/viewpage.action?pageId=391885489</t>
  </si>
  <si>
    <t>FICC-92767</t>
  </si>
  <si>
    <t>【主需求】支持生成偏离度月报</t>
  </si>
  <si>
    <t>http://wiki.htzq.htsc.com.cn/pages/viewpage.action?pageId=452334885</t>
  </si>
  <si>
    <t>（2）2</t>
  </si>
  <si>
    <t>1、交付风控规则：DVBP、单笔交易规模、资产持仓限额；
2、标的池：标的池规则；
3、月度授权：支持债券ETF的风控规则通过月度授权生成（启动开发）</t>
  </si>
  <si>
    <t>FICC-92803</t>
  </si>
  <si>
    <t>【主需求】债券ETF二级交易-风控与授权</t>
  </si>
  <si>
    <t>http://wiki.htzq.htsc.com.cn/pages/viewpage.action?pageId=438196306</t>
  </si>
  <si>
    <t>（2）4</t>
  </si>
  <si>
    <t>陆中骞</t>
  </si>
  <si>
    <t>1、支持债券ETF DV01的计量</t>
  </si>
  <si>
    <t>FICC-92769</t>
  </si>
  <si>
    <t>【估值及风险计量-风险管理工作站】支持债券ETF的DV01计量</t>
  </si>
  <si>
    <t>http://wiki.htzq.htsc.com.cn/pages/viewpage.action?pageId=455323572</t>
  </si>
  <si>
    <t>（1）3</t>
  </si>
  <si>
    <t>Headsbos,交易员工作站</t>
  </si>
  <si>
    <t>1.标的池入池规则维护</t>
  </si>
  <si>
    <t>FICC-91829</t>
  </si>
  <si>
    <t>【数据服务】交易所债券ETF入池流程 - 需求规格</t>
  </si>
  <si>
    <t>http://wiki.htzq.htsc.com.cn/pages/viewpage.action?pageId=443098347</t>
  </si>
  <si>
    <t>何鑫</t>
  </si>
  <si>
    <t>吴克易琼/孙玉涵/刘佩金/钱高翔</t>
  </si>
  <si>
    <t>吴克易琼/钱高翔</t>
  </si>
  <si>
    <t>1、完成大象外汇期货成交数据对接Galaxy、Retina，包括日间实时成交同步与日终成交同步
2、同步加载Abacus日初持仓数据
3、从上游接入外汇期货彭博BBG Ticker及对应收盘价、结算价等静态数据</t>
  </si>
  <si>
    <t>FICC-92651</t>
  </si>
  <si>
    <t>港交所外汇期货簿记Calypso替换（一）</t>
  </si>
  <si>
    <t>http://wiki.htzq.htsc.com.cn/pages/viewpage.action?pageId=450074118</t>
  </si>
  <si>
    <t>1.补充接入上游Base_Curncy字段
2.维护外汇期货fixing_price提供下游金工使用</t>
  </si>
  <si>
    <t>FICC-92825</t>
  </si>
  <si>
    <t>【数据服务】港交所外汇期货前台交易簿记需求</t>
  </si>
  <si>
    <t>http://wiki.htzq.htsc.com.cn/pages/viewpage.action?pageId=459694380</t>
  </si>
  <si>
    <t>1、新增增值税配置
2、生成增值税现金流
3、在合约维度估值中新增“未支付税费”及“已支付税费”字段，“未支付税费”计入合约价值字段
4、盯市和风控模块感知合约价值逻辑调整
5、“未支付税费”及“已支付税费”字段推送运营并复核</t>
  </si>
  <si>
    <t>FICC-92877</t>
  </si>
  <si>
    <t>【主需求】债券增值税现金流自动生成</t>
  </si>
  <si>
    <t>http://wiki.htzq.htsc.com.cn/pages/viewpage.action?pageId=454734722</t>
  </si>
  <si>
    <t>交易员工作站,Headsbos</t>
  </si>
  <si>
    <t>FICC-92851</t>
  </si>
  <si>
    <t>【主需求】外币回购交易链路-2</t>
  </si>
  <si>
    <t>http://wiki.htzq.htsc.com.cn/x/raAaGw</t>
  </si>
  <si>
    <t>【报表团队】开发报表界面；
基于债券持仓，提供OCI账户的减值计算报表；</t>
  </si>
  <si>
    <t>FICC-92805</t>
  </si>
  <si>
    <t>【主需求】OCI账户债券持仓减值报表</t>
  </si>
  <si>
    <t>http://wiki.htzq.htsc.com.cn/pages/viewpage.action?pageId=448011994</t>
  </si>
  <si>
    <t>（1）2</t>
  </si>
  <si>
    <t>卞恺</t>
  </si>
  <si>
    <t>平台</t>
  </si>
  <si>
    <t>【数仓团队】开发报表所需数据加工逻辑；
基于债券持仓，提供OCI账户的减值计算报表；</t>
  </si>
  <si>
    <t>FICC-92921</t>
  </si>
  <si>
    <t>【平台】OCI账户债券持仓减值报表-数仓加工</t>
  </si>
  <si>
    <t>唐超</t>
  </si>
  <si>
    <t>策略平台</t>
  </si>
  <si>
    <t>FICC-92823</t>
  </si>
  <si>
    <t>【主需求】大象策略管理支持配置HAB平台镜像版本</t>
  </si>
  <si>
    <t>http://wiki.htzq.htsc.com.cn/pages/viewpage.action?pageId=460337200</t>
  </si>
  <si>
    <t>FICC-91806</t>
  </si>
  <si>
    <t>【主需求】中央交易室债券借贷交易执行自动化-3</t>
  </si>
  <si>
    <t>http://wiki.htzq.htsc.com.cn/x/3neEGg</t>
  </si>
  <si>
    <t>（3）6</t>
  </si>
  <si>
    <t>FICC-91863</t>
  </si>
  <si>
    <t>【主需求】外币拆借交易链路</t>
  </si>
  <si>
    <t>http://wiki.htzq.htsc.com.cn/x/VaQaGw</t>
  </si>
  <si>
    <t>（1）4</t>
  </si>
  <si>
    <t>李华晋</t>
  </si>
  <si>
    <t>FICC-92768</t>
  </si>
  <si>
    <t>【主需求】支持目标一的研究</t>
  </si>
  <si>
    <t>http://wiki.htzq.htsc.com.cn/pages/viewpage.action?pageId=310631324</t>
  </si>
  <si>
    <t>FICC-92878</t>
  </si>
  <si>
    <t>【主需求】关于风险数据集市采集固收Cube和大象系统场外业务数据的需求</t>
  </si>
  <si>
    <t>内部优化</t>
  </si>
  <si>
    <t>FICC-89176</t>
  </si>
  <si>
    <t>【主需求】对接彭博交易日历和结算日历</t>
  </si>
  <si>
    <t>http://wiki.htzq.htsc.com.cn/pages/viewpage.action?pageId=455322331</t>
  </si>
  <si>
    <t>FICC-92807</t>
  </si>
  <si>
    <t>【主需求】上证固收平台切换配合改造（点击成交、非匹配成交）</t>
  </si>
  <si>
    <t>http://wiki.htzq.htsc.com.cn/pages/viewpage.action?pageId=449428742</t>
  </si>
  <si>
    <t>孙大卫、崔冬、李源畅</t>
  </si>
  <si>
    <t>对接行情中心获取新版上交所债券行情，并调整优化前端显示</t>
  </si>
  <si>
    <t>FICC-89174</t>
  </si>
  <si>
    <t>【数据服务-交易员工作站】O45迁移+交易所固收平台切换至互联网平台</t>
  </si>
  <si>
    <t>FICC-92911</t>
  </si>
  <si>
    <t>[主需求]完成LAMP功能优化</t>
  </si>
  <si>
    <t>FICC-92752</t>
  </si>
  <si>
    <t>【香港金控FICC】期货支持彭博代码下单</t>
  </si>
  <si>
    <t>http://wiki.htzq.htsc.com.cn/pages/viewpage.action?pageId=458551306</t>
  </si>
  <si>
    <t>FICC-92819</t>
  </si>
  <si>
    <t>【主需求】优化境外期货交易链路静态数据的对接方式</t>
  </si>
  <si>
    <t>http://wiki.htzq.htsc.com.cn/x/YktmGw</t>
  </si>
  <si>
    <t>因上游数据接入涉及跨档费用,业务侧申请未获批准，相关数据无法获取，本需求本次迭代暂不实施</t>
  </si>
  <si>
    <t>FICC-92817</t>
  </si>
  <si>
    <t>【主需求】完成除IRD集群和Turingx集群外所有集群迁移</t>
  </si>
  <si>
    <t>CBOT交易所期权日终行情维护</t>
  </si>
  <si>
    <t>奚业雷</t>
  </si>
  <si>
    <t>FICC-89105</t>
  </si>
  <si>
    <t>【主需求】CBOT交易所期权日终行情维护</t>
  </si>
  <si>
    <t>http://wiki.htzq.htsc.com.cn/pages/viewpage.action?pageId=459693492</t>
  </si>
  <si>
    <t>GP数据库交易所回购历史数据同步到DDB数据库</t>
  </si>
  <si>
    <t>FICC-93160</t>
  </si>
  <si>
    <t>【主需求】数据库交易所回购历史数据同步到DDB数据库</t>
  </si>
  <si>
    <t>http://wiki.htzq.htsc.com.cn/pages/viewpage.action?pageId=463084706</t>
  </si>
  <si>
    <t>场外期权入池场景技术优化</t>
  </si>
  <si>
    <t>优化场外期权数量过多导致入池失败的场景</t>
  </si>
  <si>
    <t>FICC-92814</t>
  </si>
  <si>
    <t>【主需求】场外期权入池场景技术优化</t>
  </si>
  <si>
    <t>http://wiki.htzq.htsc.com.cn/pages/viewpage.action?pageId=452350299</t>
  </si>
  <si>
    <t>通用审批页， 支持业务将表格通过文件传输给bpm，文件通过附件形式展示，点击后，支持文件预览</t>
  </si>
  <si>
    <t>FICC-92665</t>
  </si>
  <si>
    <t>【平台-headsbos】审批-申请内容支持按照文件形式展示（2/2）</t>
  </si>
  <si>
    <t>http://wiki.htzq.htsc.com.cn/pages/viewpage.action?pageId=453495134</t>
  </si>
  <si>
    <t>合规风控台</t>
  </si>
  <si>
    <t>顾妍</t>
  </si>
  <si>
    <t>审批监控（新）界面，支持默认显示全部未审批流程，减少业务查找找审批流程的时间</t>
  </si>
  <si>
    <t>FICC-91808</t>
  </si>
  <si>
    <t>【主需求】审批-审批监控（新）支持显示流程待办</t>
  </si>
  <si>
    <t>http://wiki.htzq.htsc.com.cn/pages/viewpage.action?pageId=454080280</t>
  </si>
  <si>
    <t>授权流程迁移</t>
  </si>
  <si>
    <t>固收自营授权流程迁移，启动授权流程的后端服务迁移，从老流程平台迁移到新流程平台</t>
  </si>
  <si>
    <t>FICC-90347</t>
  </si>
  <si>
    <t>【主需求】授权流程迁移</t>
  </si>
  <si>
    <t>http://wiki.htzq.htsc.com.cn/pages/viewpage.action?pageId=441259136</t>
  </si>
  <si>
    <t>选择角色界面优化</t>
  </si>
  <si>
    <t>朱亚忱</t>
  </si>
  <si>
    <t>1、选择角色的弹窗中，不展示已选中的角色
2、选择角色的弹窗中，角色id的展示逻辑和界面角色的显示逻辑保持一致</t>
  </si>
  <si>
    <t>FICC-92847</t>
  </si>
  <si>
    <t>【主需求】权限-选择角色界面优化</t>
  </si>
  <si>
    <t>http://wiki.htzq.htsc.com.cn/pages/viewpage.action?pageId=456684292</t>
  </si>
  <si>
    <t>冻结用户无法作为审批人进行审批</t>
  </si>
  <si>
    <t>流程模板配置界面，无法选择冻结用户作为审批人</t>
  </si>
  <si>
    <t>FICC-92913</t>
  </si>
  <si>
    <t>【主需求】审批-冻结用户无法配置作为审批人</t>
  </si>
  <si>
    <t>http://wiki.htzq.htsc.com.cn/pages/viewpage.action?pageId=460850071</t>
  </si>
  <si>
    <t>反洗钱异常提醒优化</t>
  </si>
  <si>
    <t>展业工作站（web）</t>
  </si>
  <si>
    <t>1.夜间回溯反洗钱提醒增加铃客提醒
2. 系统内提醒的过期时间改为72小时</t>
  </si>
  <si>
    <t>FICC-92881</t>
  </si>
  <si>
    <t>【主需求】夜间回溯反洗钱异常提醒增加铃客提醒</t>
  </si>
  <si>
    <t>http://wiki.htzq.htsc.com.cn/pages/viewpage.action?pageId=364103809</t>
  </si>
  <si>
    <t>监控报表明细优化</t>
  </si>
  <si>
    <t>风控合规中心</t>
  </si>
  <si>
    <t>袁维</t>
  </si>
  <si>
    <t>自营监管-利率互换明细表增加列：外部成交编号</t>
  </si>
  <si>
    <t>FICC-92868</t>
  </si>
  <si>
    <t>【主需求】监管报表明细优化</t>
  </si>
  <si>
    <t>http://wiki.htzq.htsc.com.cn/pages/viewpage.action?pageId=454094839</t>
  </si>
  <si>
    <t>FICC-92869</t>
  </si>
  <si>
    <t>【策略平台-风险管理工作站】监管报表明细优化</t>
  </si>
  <si>
    <t>客需交易台</t>
  </si>
  <si>
    <t>谷龙</t>
  </si>
  <si>
    <t>投顾平台（web）</t>
  </si>
  <si>
    <t>新增三位投资经理名章</t>
  </si>
  <si>
    <t>FICC-93151</t>
  </si>
  <si>
    <t>【主需求】新增三位投资经理名章</t>
  </si>
  <si>
    <t>http://wiki.htzq.htsc.com.cn/pages/viewpage.action?pageId=461981867</t>
  </si>
  <si>
    <t>场外运营侧内部优化</t>
  </si>
  <si>
    <t>1、运营侧批量分仓导入模板增加标的、交易方向、开平方向
2、交易工作台我的关注增加报价的买入和卖出量
3、在“标的管理”-“标的信息管理”中，“标的列表”的最右侧“操作”列中增加“入池申请”功能，点击后弹出标的入池申请窗口。</t>
  </si>
  <si>
    <t>FICC-93333</t>
  </si>
  <si>
    <t>【主需求】场外运营侧内部优化</t>
  </si>
  <si>
    <t>场外对客客户端内部优化</t>
  </si>
  <si>
    <t>场外对客Web端</t>
  </si>
  <si>
    <t>场外对客平台支持客户配置期货互换、权益互换、债券互换等各个交易页面可选择的book，从而实现book的定制展示，新增book默认展示状态。</t>
  </si>
  <si>
    <t>FICC-93334</t>
  </si>
  <si>
    <t>【主需求】场外对客客户端内部优化</t>
  </si>
  <si>
    <t>固收部【境内】</t>
  </si>
  <si>
    <r>
      <rPr>
        <sz val="12"/>
        <color rgb="FF000000"/>
        <rFont val="微软雅黑"/>
        <charset val="134"/>
      </rPr>
      <t>发给</t>
    </r>
    <r>
      <rPr>
        <sz val="12"/>
        <color rgb="FFFF0000"/>
        <rFont val="微软雅黑"/>
        <charset val="134"/>
      </rPr>
      <t>固收部</t>
    </r>
    <r>
      <rPr>
        <sz val="12"/>
        <color rgb="FF000000"/>
        <rFont val="微软雅黑"/>
        <charset val="134"/>
      </rPr>
      <t>验收清单需包含的列头</t>
    </r>
  </si>
  <si>
    <t>每次发版评审，额外所需列头</t>
  </si>
  <si>
    <r>
      <rPr>
        <b/>
        <sz val="12"/>
        <color rgb="FF000000"/>
        <rFont val="微软雅黑"/>
        <charset val="134"/>
      </rPr>
      <t xml:space="preserve">需求归属
</t>
    </r>
    <r>
      <rPr>
        <b/>
        <sz val="12"/>
        <color rgb="FFFF0000"/>
        <rFont val="微软雅黑"/>
        <charset val="134"/>
      </rPr>
      <t>【产品确认】</t>
    </r>
  </si>
  <si>
    <r>
      <rPr>
        <b/>
        <sz val="12"/>
        <color rgb="FF000000"/>
        <rFont val="微软雅黑"/>
        <charset val="134"/>
      </rPr>
      <t xml:space="preserve">验收人
</t>
    </r>
    <r>
      <rPr>
        <b/>
        <sz val="12"/>
        <color rgb="FFFF0000"/>
        <rFont val="微软雅黑"/>
        <charset val="134"/>
      </rPr>
      <t>【产品确认】</t>
    </r>
  </si>
  <si>
    <r>
      <rPr>
        <b/>
        <sz val="12"/>
        <color rgb="FF000000"/>
        <rFont val="微软雅黑"/>
        <charset val="134"/>
      </rPr>
      <t xml:space="preserve">业务需求编号
</t>
    </r>
    <r>
      <rPr>
        <b/>
        <sz val="12"/>
        <color rgb="FFFF0000"/>
        <rFont val="微软雅黑"/>
        <charset val="134"/>
      </rPr>
      <t>【产品确认】</t>
    </r>
  </si>
  <si>
    <t>产品jira</t>
  </si>
  <si>
    <t>概要</t>
  </si>
  <si>
    <t>业务验收内容</t>
  </si>
  <si>
    <t>经办人</t>
  </si>
  <si>
    <r>
      <rPr>
        <b/>
        <sz val="12"/>
        <color rgb="FF000000"/>
        <rFont val="微软雅黑"/>
        <charset val="134"/>
      </rPr>
      <t xml:space="preserve">产品验收状态
</t>
    </r>
    <r>
      <rPr>
        <b/>
        <sz val="12"/>
        <color rgb="FFFF0000"/>
        <rFont val="微软雅黑"/>
        <charset val="134"/>
      </rPr>
      <t>【产品确认】</t>
    </r>
  </si>
  <si>
    <r>
      <rPr>
        <b/>
        <sz val="12"/>
        <color rgb="FF000000"/>
        <rFont val="微软雅黑"/>
        <charset val="134"/>
      </rPr>
      <t xml:space="preserve">是否完整交付
</t>
    </r>
    <r>
      <rPr>
        <b/>
        <sz val="12"/>
        <color rgb="FFFF0000"/>
        <rFont val="微软雅黑"/>
        <charset val="134"/>
      </rPr>
      <t>【产品确认】</t>
    </r>
  </si>
  <si>
    <t>是否业务验收</t>
  </si>
  <si>
    <t>需求提出部门</t>
  </si>
  <si>
    <t>运维关注</t>
  </si>
  <si>
    <t>生产环境配置</t>
  </si>
  <si>
    <t>周一验证</t>
  </si>
  <si>
    <t>固收部【境外】</t>
  </si>
  <si>
    <r>
      <rPr>
        <sz val="12"/>
        <color rgb="FF000000"/>
        <rFont val="微软雅黑"/>
        <charset val="134"/>
      </rPr>
      <t>发给</t>
    </r>
    <r>
      <rPr>
        <sz val="12"/>
        <color rgb="FFFF0000"/>
        <rFont val="微软雅黑"/>
        <charset val="134"/>
      </rPr>
      <t>资运部</t>
    </r>
    <r>
      <rPr>
        <sz val="12"/>
        <color rgb="FF000000"/>
        <rFont val="微软雅黑"/>
        <charset val="134"/>
      </rPr>
      <t>验收清单需包含的列头</t>
    </r>
  </si>
  <si>
    <t>阶段</t>
  </si>
  <si>
    <t>日期</t>
  </si>
  <si>
    <t>工作事项（计划）</t>
  </si>
  <si>
    <t>进展总结</t>
  </si>
  <si>
    <t>项目组工作</t>
  </si>
  <si>
    <t>产品团队</t>
  </si>
  <si>
    <t>研发团队</t>
  </si>
  <si>
    <t>BRD评估阶段</t>
  </si>
  <si>
    <t>各业务部门需求收集和登记
明确需求技术牵头人</t>
  </si>
  <si>
    <t>登记产品优化需求
明确需求产品牵头人
筛选BRD未达到准入条件的需求列表</t>
  </si>
  <si>
    <r>
      <rPr>
        <b/>
        <sz val="11"/>
        <color rgb="FF000000"/>
        <rFont val="微软雅黑"/>
        <charset val="134"/>
      </rPr>
      <t xml:space="preserve">一、进展总结
1. 需求收集：共有27条业务需求:
</t>
    </r>
    <r>
      <rPr>
        <sz val="11"/>
        <color rgb="FF000000"/>
        <rFont val="微软雅黑"/>
        <charset val="134"/>
      </rPr>
      <t>a.固收部境内外共23条需求（</t>
    </r>
    <r>
      <rPr>
        <sz val="11"/>
        <color rgb="FFFF0000"/>
        <rFont val="微软雅黑"/>
        <charset val="134"/>
      </rPr>
      <t>10条</t>
    </r>
    <r>
      <rPr>
        <sz val="11"/>
        <color rgb="FF000000"/>
        <rFont val="微软雅黑"/>
        <charset val="134"/>
      </rPr>
      <t>新需求+</t>
    </r>
    <r>
      <rPr>
        <sz val="11"/>
        <color rgb="FFFF0000"/>
        <rFont val="微软雅黑"/>
        <charset val="134"/>
      </rPr>
      <t>13条</t>
    </r>
    <r>
      <rPr>
        <sz val="11"/>
        <color rgb="FF000000"/>
        <rFont val="微软雅黑"/>
        <charset val="134"/>
      </rPr>
      <t>在研需求）。
b.中央交易室&amp;资金运营部&amp;风控部共4条需求(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c.已有21条需求（</t>
    </r>
    <r>
      <rPr>
        <b/>
        <sz val="11"/>
        <color rgb="FFFF0000"/>
        <rFont val="微软雅黑"/>
        <charset val="134"/>
      </rPr>
      <t>78%</t>
    </r>
    <r>
      <rPr>
        <sz val="11"/>
        <color rgb="FF000000"/>
        <rFont val="微软雅黑"/>
        <charset val="134"/>
      </rPr>
      <t>）完成牵头产品经理填写，26条需求（</t>
    </r>
    <r>
      <rPr>
        <b/>
        <sz val="11"/>
        <color rgb="FFFF0000"/>
        <rFont val="微软雅黑"/>
        <charset val="134"/>
      </rPr>
      <t>96%</t>
    </r>
    <r>
      <rPr>
        <sz val="11"/>
        <color rgb="FF000000"/>
        <rFont val="微软雅黑"/>
        <charset val="134"/>
      </rPr>
      <t xml:space="preserve">）完成技术负责人填写。
2. </t>
    </r>
    <r>
      <rPr>
        <b/>
        <sz val="11"/>
        <color rgb="FF000000"/>
        <rFont val="微软雅黑"/>
        <charset val="134"/>
      </rPr>
      <t>BRD准入评估：</t>
    </r>
    <r>
      <rPr>
        <sz val="11"/>
        <color rgb="FF000000"/>
        <rFont val="微软雅黑"/>
        <charset val="134"/>
      </rPr>
      <t>已确定20条需求满足BRD准入标准，7条需求正在评估中。评估完成率</t>
    </r>
    <r>
      <rPr>
        <b/>
        <sz val="11"/>
        <color rgb="FFFF0000"/>
        <rFont val="微软雅黑"/>
        <charset val="134"/>
      </rPr>
      <t>77%</t>
    </r>
    <r>
      <rPr>
        <sz val="11"/>
        <color rgb="FF000000"/>
        <rFont val="微软雅黑"/>
        <charset val="134"/>
      </rPr>
      <t>（=20/26）
3</t>
    </r>
    <r>
      <rPr>
        <b/>
        <sz val="11"/>
        <color rgb="FF000000"/>
        <rFont val="微软雅黑"/>
        <charset val="134"/>
      </rPr>
      <t>. 需求纳入评估</t>
    </r>
    <r>
      <rPr>
        <sz val="11"/>
        <color rgb="FF000000"/>
        <rFont val="微软雅黑"/>
        <charset val="134"/>
      </rPr>
      <t>：16条拟纳入，7条不纳入，4条正在评估中，需求纳入评估完成百分比</t>
    </r>
    <r>
      <rPr>
        <b/>
        <sz val="11"/>
        <color rgb="FFFF0000"/>
        <rFont val="微软雅黑"/>
        <charset val="134"/>
      </rPr>
      <t>85%</t>
    </r>
    <r>
      <rPr>
        <sz val="11"/>
        <color rgb="FF000000"/>
        <rFont val="微软雅黑"/>
        <charset val="134"/>
      </rPr>
      <t>（=23/27）。
4</t>
    </r>
    <r>
      <rPr>
        <b/>
        <sz val="11"/>
        <color rgb="FF000000"/>
        <rFont val="微软雅黑"/>
        <charset val="134"/>
      </rPr>
      <t xml:space="preserve">. 预估迭代评估：
</t>
    </r>
    <r>
      <rPr>
        <sz val="11"/>
        <color rgb="FF000000"/>
        <rFont val="微软雅黑"/>
        <charset val="134"/>
      </rPr>
      <t>a. 针对16条拟纳入需求，已完成12条（</t>
    </r>
    <r>
      <rPr>
        <b/>
        <sz val="11"/>
        <color rgb="FFFF0000"/>
        <rFont val="微软雅黑"/>
        <charset val="134"/>
      </rPr>
      <t>75%</t>
    </r>
    <r>
      <rPr>
        <sz val="11"/>
        <color rgb="FF000000"/>
        <rFont val="微软雅黑"/>
        <charset val="134"/>
      </rPr>
      <t>）需求的预估迭代评估；已完成3条（</t>
    </r>
    <r>
      <rPr>
        <b/>
        <sz val="11"/>
        <color rgb="FFFF0000"/>
        <rFont val="微软雅黑"/>
        <charset val="134"/>
      </rPr>
      <t>19%</t>
    </r>
    <r>
      <rPr>
        <sz val="11"/>
        <color rgb="FF000000"/>
        <rFont val="微软雅黑"/>
        <charset val="134"/>
      </rPr>
      <t>）需求的0425具体交付内容填写。
b.针对7条不纳入需求，已完成6条（</t>
    </r>
    <r>
      <rPr>
        <b/>
        <sz val="11"/>
        <color rgb="FFFF0000"/>
        <rFont val="微软雅黑"/>
        <charset val="134"/>
      </rPr>
      <t>86%</t>
    </r>
    <r>
      <rPr>
        <sz val="11"/>
        <color rgb="FF000000"/>
        <rFont val="微软雅黑"/>
        <charset val="134"/>
      </rPr>
      <t>）预估迭代信息填写，已完成0条（</t>
    </r>
    <r>
      <rPr>
        <b/>
        <sz val="11"/>
        <color rgb="FFFF0000"/>
        <rFont val="微软雅黑"/>
        <charset val="134"/>
      </rPr>
      <t>0%</t>
    </r>
    <r>
      <rPr>
        <sz val="11"/>
        <color rgb="FF000000"/>
        <rFont val="微软雅黑"/>
        <charset val="134"/>
      </rPr>
      <t>）不纳入理由填写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</si>
  <si>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需求收集：共有27条业务需求:
</t>
    </r>
    <r>
      <rPr>
        <sz val="11"/>
        <color rgb="FF000000"/>
        <rFont val="微软雅黑"/>
        <charset val="134"/>
      </rPr>
      <t>a.固收部境内外共23条需求（</t>
    </r>
    <r>
      <rPr>
        <sz val="11"/>
        <color rgb="FFFF0000"/>
        <rFont val="微软雅黑"/>
        <charset val="134"/>
      </rPr>
      <t>10条</t>
    </r>
    <r>
      <rPr>
        <sz val="11"/>
        <color rgb="FF000000"/>
        <rFont val="微软雅黑"/>
        <charset val="134"/>
      </rPr>
      <t>新需求+</t>
    </r>
    <r>
      <rPr>
        <sz val="11"/>
        <color rgb="FFFF0000"/>
        <rFont val="微软雅黑"/>
        <charset val="134"/>
      </rPr>
      <t>13条</t>
    </r>
    <r>
      <rPr>
        <sz val="11"/>
        <color rgb="FF000000"/>
        <rFont val="微软雅黑"/>
        <charset val="134"/>
      </rPr>
      <t>在研需求）。
b.中央交易室&amp;资金运营部&amp;风控部共4条需求(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c.已有27条需求（</t>
    </r>
    <r>
      <rPr>
        <b/>
        <sz val="11"/>
        <color rgb="FFFF0000"/>
        <rFont val="微软雅黑"/>
        <charset val="134"/>
      </rPr>
      <t>100%</t>
    </r>
    <r>
      <rPr>
        <sz val="11"/>
        <color rgb="FF000000"/>
        <rFont val="微软雅黑"/>
        <charset val="134"/>
      </rPr>
      <t>）完成牵头产品经理填写，26条需求（</t>
    </r>
    <r>
      <rPr>
        <b/>
        <sz val="11"/>
        <color rgb="FFFF0000"/>
        <rFont val="微软雅黑"/>
        <charset val="134"/>
      </rPr>
      <t>96%</t>
    </r>
    <r>
      <rPr>
        <sz val="11"/>
        <color rgb="FF000000"/>
        <rFont val="微软雅黑"/>
        <charset val="134"/>
      </rPr>
      <t xml:space="preserve">）完成技术负责人填写。
2. </t>
    </r>
    <r>
      <rPr>
        <b/>
        <sz val="11"/>
        <color rgb="FF000000"/>
        <rFont val="微软雅黑"/>
        <charset val="134"/>
      </rPr>
      <t>BRD准入评估：</t>
    </r>
    <r>
      <rPr>
        <sz val="11"/>
        <color rgb="FF000000"/>
        <rFont val="微软雅黑"/>
        <charset val="134"/>
      </rPr>
      <t>已确定22条需求满足BRD准入标准，5条需求正在评估中。评估完成率</t>
    </r>
    <r>
      <rPr>
        <b/>
        <sz val="11"/>
        <color rgb="FFFF0000"/>
        <rFont val="微软雅黑"/>
        <charset val="134"/>
      </rPr>
      <t>81%</t>
    </r>
    <r>
      <rPr>
        <sz val="11"/>
        <color rgb="FF000000"/>
        <rFont val="微软雅黑"/>
        <charset val="134"/>
      </rPr>
      <t>（=22/27）
3</t>
    </r>
    <r>
      <rPr>
        <b/>
        <sz val="11"/>
        <color rgb="FF000000"/>
        <rFont val="微软雅黑"/>
        <charset val="134"/>
      </rPr>
      <t>. 需求纳入评估</t>
    </r>
    <r>
      <rPr>
        <sz val="11"/>
        <color rgb="FF000000"/>
        <rFont val="微软雅黑"/>
        <charset val="134"/>
      </rPr>
      <t>：18条拟纳入，8条不纳入，1条正在评估中，需求纳入评估完成百分比</t>
    </r>
    <r>
      <rPr>
        <b/>
        <sz val="11"/>
        <color rgb="FFFF0000"/>
        <rFont val="微软雅黑"/>
        <charset val="134"/>
      </rPr>
      <t>96%</t>
    </r>
    <r>
      <rPr>
        <sz val="11"/>
        <color rgb="FF000000"/>
        <rFont val="微软雅黑"/>
        <charset val="134"/>
      </rPr>
      <t>（=26/27）。
4</t>
    </r>
    <r>
      <rPr>
        <b/>
        <sz val="11"/>
        <color rgb="FF000000"/>
        <rFont val="微软雅黑"/>
        <charset val="134"/>
      </rPr>
      <t xml:space="preserve">. 预估迭代评估：
</t>
    </r>
    <r>
      <rPr>
        <sz val="11"/>
        <color rgb="FF000000"/>
        <rFont val="微软雅黑"/>
        <charset val="134"/>
      </rPr>
      <t>a. 针对18条拟纳入需求，已完成18条（</t>
    </r>
    <r>
      <rPr>
        <b/>
        <sz val="11"/>
        <color rgb="FFFF0000"/>
        <rFont val="微软雅黑"/>
        <charset val="134"/>
      </rPr>
      <t>100%</t>
    </r>
    <r>
      <rPr>
        <sz val="11"/>
        <color rgb="FF000000"/>
        <rFont val="微软雅黑"/>
        <charset val="134"/>
      </rPr>
      <t>）需求的预估迭代评估；已完成13条（</t>
    </r>
    <r>
      <rPr>
        <b/>
        <sz val="11"/>
        <color rgb="FFFF0000"/>
        <rFont val="微软雅黑"/>
        <charset val="134"/>
      </rPr>
      <t>72%</t>
    </r>
    <r>
      <rPr>
        <sz val="11"/>
        <color rgb="FF000000"/>
        <rFont val="微软雅黑"/>
        <charset val="134"/>
      </rPr>
      <t>）需求的0425具体交付内容填写。
b.针对8条不纳入需求，已完成7条（</t>
    </r>
    <r>
      <rPr>
        <b/>
        <sz val="11"/>
        <color rgb="FFFF0000"/>
        <rFont val="微软雅黑"/>
        <charset val="134"/>
      </rPr>
      <t>88%</t>
    </r>
    <r>
      <rPr>
        <sz val="11"/>
        <color rgb="FF000000"/>
        <rFont val="微软雅黑"/>
        <charset val="134"/>
      </rPr>
      <t>）预估迭代信息填写，已完成7条（</t>
    </r>
    <r>
      <rPr>
        <b/>
        <sz val="11"/>
        <color rgb="FFFF0000"/>
        <rFont val="微软雅黑"/>
        <charset val="134"/>
      </rPr>
      <t>88%</t>
    </r>
    <r>
      <rPr>
        <sz val="11"/>
        <color rgb="FF000000"/>
        <rFont val="微软雅黑"/>
        <charset val="134"/>
      </rPr>
      <t>）不纳入理由填写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</si>
  <si>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需求收集：共有27条业务需求:
</t>
    </r>
    <r>
      <rPr>
        <sz val="11"/>
        <color rgb="FF000000"/>
        <rFont val="微软雅黑"/>
        <charset val="134"/>
      </rPr>
      <t>a.固收部境内外共23条需求（</t>
    </r>
    <r>
      <rPr>
        <sz val="11"/>
        <color rgb="FFFF0000"/>
        <rFont val="微软雅黑"/>
        <charset val="134"/>
      </rPr>
      <t>10条</t>
    </r>
    <r>
      <rPr>
        <sz val="11"/>
        <color rgb="FF000000"/>
        <rFont val="微软雅黑"/>
        <charset val="134"/>
      </rPr>
      <t>新需求+</t>
    </r>
    <r>
      <rPr>
        <sz val="11"/>
        <color rgb="FFFF0000"/>
        <rFont val="微软雅黑"/>
        <charset val="134"/>
      </rPr>
      <t>13条</t>
    </r>
    <r>
      <rPr>
        <sz val="11"/>
        <color rgb="FF000000"/>
        <rFont val="微软雅黑"/>
        <charset val="134"/>
      </rPr>
      <t>在研需求）。
b.中央交易室&amp;资金运营部&amp;风控部共4条需求(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c.已有27条需求（</t>
    </r>
    <r>
      <rPr>
        <b/>
        <sz val="11"/>
        <color rgb="FFFF0000"/>
        <rFont val="微软雅黑"/>
        <charset val="134"/>
      </rPr>
      <t>100%</t>
    </r>
    <r>
      <rPr>
        <sz val="11"/>
        <color rgb="FF000000"/>
        <rFont val="微软雅黑"/>
        <charset val="134"/>
      </rPr>
      <t>）完成牵头产品经理填写，26条需求（</t>
    </r>
    <r>
      <rPr>
        <b/>
        <sz val="11"/>
        <color rgb="FFFF0000"/>
        <rFont val="微软雅黑"/>
        <charset val="134"/>
      </rPr>
      <t>96%</t>
    </r>
    <r>
      <rPr>
        <sz val="11"/>
        <color rgb="FF000000"/>
        <rFont val="微软雅黑"/>
        <charset val="134"/>
      </rPr>
      <t xml:space="preserve">）完成技术负责人填写。
2. </t>
    </r>
    <r>
      <rPr>
        <b/>
        <sz val="11"/>
        <color rgb="FF000000"/>
        <rFont val="微软雅黑"/>
        <charset val="134"/>
      </rPr>
      <t>BRD准入评估：</t>
    </r>
    <r>
      <rPr>
        <sz val="11"/>
        <color rgb="FF000000"/>
        <rFont val="微软雅黑"/>
        <charset val="134"/>
      </rPr>
      <t>已确定25条需求满足BRD准入标准，1条需求不满足BRD准入标准，1条需求待评估。评估完成率</t>
    </r>
    <r>
      <rPr>
        <b/>
        <sz val="11"/>
        <color rgb="FFFF0000"/>
        <rFont val="微软雅黑"/>
        <charset val="134"/>
      </rPr>
      <t>96%</t>
    </r>
    <r>
      <rPr>
        <sz val="11"/>
        <color rgb="FF000000"/>
        <rFont val="微软雅黑"/>
        <charset val="134"/>
      </rPr>
      <t>（=26/27）
3</t>
    </r>
    <r>
      <rPr>
        <b/>
        <sz val="11"/>
        <color rgb="FF000000"/>
        <rFont val="微软雅黑"/>
        <charset val="134"/>
      </rPr>
      <t>. 需求纳入评估</t>
    </r>
    <r>
      <rPr>
        <sz val="11"/>
        <color rgb="FF000000"/>
        <rFont val="微软雅黑"/>
        <charset val="134"/>
      </rPr>
      <t>：19条拟纳入，8条不纳入，需求纳入评估完成百分比</t>
    </r>
    <r>
      <rPr>
        <b/>
        <sz val="11"/>
        <color rgb="FFFF0000"/>
        <rFont val="微软雅黑"/>
        <charset val="134"/>
      </rPr>
      <t>100%</t>
    </r>
    <r>
      <rPr>
        <sz val="11"/>
        <color rgb="FF000000"/>
        <rFont val="微软雅黑"/>
        <charset val="134"/>
      </rPr>
      <t>（=27/27）。
4</t>
    </r>
    <r>
      <rPr>
        <b/>
        <sz val="11"/>
        <color rgb="FF000000"/>
        <rFont val="微软雅黑"/>
        <charset val="134"/>
      </rPr>
      <t xml:space="preserve">. 预估迭代评估：
</t>
    </r>
    <r>
      <rPr>
        <sz val="11"/>
        <color rgb="FF000000"/>
        <rFont val="微软雅黑"/>
        <charset val="134"/>
      </rPr>
      <t>a. 针对19条拟纳入需求，已完成19条（</t>
    </r>
    <r>
      <rPr>
        <b/>
        <sz val="11"/>
        <color rgb="FFFF0000"/>
        <rFont val="微软雅黑"/>
        <charset val="134"/>
      </rPr>
      <t>100%</t>
    </r>
    <r>
      <rPr>
        <sz val="11"/>
        <color rgb="FF000000"/>
        <rFont val="微软雅黑"/>
        <charset val="134"/>
      </rPr>
      <t>）需求的预估迭代评估；已完成13条（</t>
    </r>
    <r>
      <rPr>
        <b/>
        <sz val="11"/>
        <color rgb="FFFF0000"/>
        <rFont val="微软雅黑"/>
        <charset val="134"/>
      </rPr>
      <t>68%</t>
    </r>
    <r>
      <rPr>
        <sz val="11"/>
        <color rgb="FF000000"/>
        <rFont val="微软雅黑"/>
        <charset val="134"/>
      </rPr>
      <t>）需求的0425具体交付内容填写。
b.针对8条不纳入需求，已完成8条（</t>
    </r>
    <r>
      <rPr>
        <b/>
        <sz val="11"/>
        <color rgb="FFFF0000"/>
        <rFont val="微软雅黑"/>
        <charset val="134"/>
      </rPr>
      <t>100%</t>
    </r>
    <r>
      <rPr>
        <sz val="11"/>
        <color rgb="FF000000"/>
        <rFont val="微软雅黑"/>
        <charset val="134"/>
      </rPr>
      <t>）预估迭代信息填写，已完成8条（</t>
    </r>
    <r>
      <rPr>
        <b/>
        <sz val="11"/>
        <color rgb="FFFF0000"/>
        <rFont val="微软雅黑"/>
        <charset val="134"/>
      </rPr>
      <t>100%</t>
    </r>
    <r>
      <rPr>
        <sz val="11"/>
        <color rgb="FF000000"/>
        <rFont val="微软雅黑"/>
        <charset val="134"/>
      </rPr>
      <t xml:space="preserve">）不纳入理由填写
</t>
    </r>
    <r>
      <rPr>
        <b/>
        <sz val="11"/>
        <color rgb="FF000000"/>
        <rFont val="微软雅黑"/>
        <charset val="134"/>
      </rPr>
      <t>5. 技术负责人确认：</t>
    </r>
    <r>
      <rPr>
        <sz val="11"/>
        <color rgb="FF000000"/>
        <rFont val="微软雅黑"/>
        <charset val="134"/>
      </rPr>
      <t>针对13条同时完成预估迭代和0425交付内容的需求，有3条（</t>
    </r>
    <r>
      <rPr>
        <b/>
        <sz val="11"/>
        <color rgb="FFFF0000"/>
        <rFont val="微软雅黑"/>
        <charset val="134"/>
      </rPr>
      <t>23%</t>
    </r>
    <r>
      <rPr>
        <sz val="11"/>
        <color rgb="FF000000"/>
        <rFont val="微软雅黑"/>
        <charset val="134"/>
      </rPr>
      <t>）需求已完成技术负责人确认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</si>
  <si>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需求收集：共有27条业务需求:
</t>
    </r>
    <r>
      <rPr>
        <sz val="11"/>
        <color rgb="FF000000"/>
        <rFont val="微软雅黑"/>
        <charset val="134"/>
      </rPr>
      <t>a.固收部境内外共23条需求（</t>
    </r>
    <r>
      <rPr>
        <sz val="11"/>
        <color rgb="FFFF0000"/>
        <rFont val="微软雅黑"/>
        <charset val="134"/>
      </rPr>
      <t>10条</t>
    </r>
    <r>
      <rPr>
        <sz val="11"/>
        <color rgb="FF000000"/>
        <rFont val="微软雅黑"/>
        <charset val="134"/>
      </rPr>
      <t>新需求+</t>
    </r>
    <r>
      <rPr>
        <sz val="11"/>
        <color rgb="FFFF0000"/>
        <rFont val="微软雅黑"/>
        <charset val="134"/>
      </rPr>
      <t>13条</t>
    </r>
    <r>
      <rPr>
        <sz val="11"/>
        <color rgb="FF000000"/>
        <rFont val="微软雅黑"/>
        <charset val="134"/>
      </rPr>
      <t>在研需求）。
b.中央交易室&amp;资金运营部&amp;风控部共4条需求(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c.已有27条需求（</t>
    </r>
    <r>
      <rPr>
        <b/>
        <sz val="11"/>
        <color rgb="FFFF0000"/>
        <rFont val="微软雅黑"/>
        <charset val="134"/>
      </rPr>
      <t>100%</t>
    </r>
    <r>
      <rPr>
        <sz val="11"/>
        <color rgb="FF000000"/>
        <rFont val="微软雅黑"/>
        <charset val="134"/>
      </rPr>
      <t>）完成牵头产品经理填写，27条需求（</t>
    </r>
    <r>
      <rPr>
        <b/>
        <sz val="11"/>
        <color rgb="FFFF0000"/>
        <rFont val="微软雅黑"/>
        <charset val="134"/>
      </rPr>
      <t>100%</t>
    </r>
    <r>
      <rPr>
        <sz val="11"/>
        <color rgb="FF000000"/>
        <rFont val="微软雅黑"/>
        <charset val="134"/>
      </rPr>
      <t xml:space="preserve">）完成技术负责人填写。
2. </t>
    </r>
    <r>
      <rPr>
        <b/>
        <sz val="11"/>
        <color rgb="FF000000"/>
        <rFont val="微软雅黑"/>
        <charset val="134"/>
      </rPr>
      <t>BRD准入评估：</t>
    </r>
    <r>
      <rPr>
        <sz val="11"/>
        <color rgb="FF000000"/>
        <rFont val="微软雅黑"/>
        <charset val="134"/>
      </rPr>
      <t>已确定26条需求满足BRD准入标准，1条需求不满足BRD准入标准。评估完成率</t>
    </r>
    <r>
      <rPr>
        <b/>
        <sz val="11"/>
        <color rgb="FFFF0000"/>
        <rFont val="微软雅黑"/>
        <charset val="134"/>
      </rPr>
      <t>100%</t>
    </r>
    <r>
      <rPr>
        <sz val="11"/>
        <color rgb="FF000000"/>
        <rFont val="微软雅黑"/>
        <charset val="134"/>
      </rPr>
      <t>（=27/27）
3</t>
    </r>
    <r>
      <rPr>
        <b/>
        <sz val="11"/>
        <color rgb="FF000000"/>
        <rFont val="微软雅黑"/>
        <charset val="134"/>
      </rPr>
      <t>. 需求纳入评估</t>
    </r>
    <r>
      <rPr>
        <sz val="11"/>
        <color rgb="FF000000"/>
        <rFont val="微软雅黑"/>
        <charset val="134"/>
      </rPr>
      <t>：19条拟纳入，8条不纳入，需求纳入评估完成百分比</t>
    </r>
    <r>
      <rPr>
        <b/>
        <sz val="11"/>
        <color rgb="FFFF0000"/>
        <rFont val="微软雅黑"/>
        <charset val="134"/>
      </rPr>
      <t>100%</t>
    </r>
    <r>
      <rPr>
        <sz val="11"/>
        <color rgb="FF000000"/>
        <rFont val="微软雅黑"/>
        <charset val="134"/>
      </rPr>
      <t>（=27/27）。
4</t>
    </r>
    <r>
      <rPr>
        <b/>
        <sz val="11"/>
        <color rgb="FF000000"/>
        <rFont val="微软雅黑"/>
        <charset val="134"/>
      </rPr>
      <t xml:space="preserve">. 预估迭代评估：
</t>
    </r>
    <r>
      <rPr>
        <sz val="11"/>
        <color rgb="FF000000"/>
        <rFont val="微软雅黑"/>
        <charset val="134"/>
      </rPr>
      <t>a. 针对19条拟纳入需求，已完成19条（</t>
    </r>
    <r>
      <rPr>
        <b/>
        <sz val="11"/>
        <color rgb="FFFF0000"/>
        <rFont val="微软雅黑"/>
        <charset val="134"/>
      </rPr>
      <t>100%</t>
    </r>
    <r>
      <rPr>
        <sz val="11"/>
        <color rgb="FF000000"/>
        <rFont val="微软雅黑"/>
        <charset val="134"/>
      </rPr>
      <t>）需求的预估迭代评估；已完成19条（</t>
    </r>
    <r>
      <rPr>
        <b/>
        <sz val="11"/>
        <color rgb="FFFF0000"/>
        <rFont val="微软雅黑"/>
        <charset val="134"/>
      </rPr>
      <t>100%</t>
    </r>
    <r>
      <rPr>
        <sz val="11"/>
        <color rgb="FF000000"/>
        <rFont val="微软雅黑"/>
        <charset val="134"/>
      </rPr>
      <t>）需求的0425具体交付内容填写。
b.针对8条不纳入需求，已完成8条（</t>
    </r>
    <r>
      <rPr>
        <b/>
        <sz val="11"/>
        <color rgb="FFFF0000"/>
        <rFont val="微软雅黑"/>
        <charset val="134"/>
      </rPr>
      <t>100%</t>
    </r>
    <r>
      <rPr>
        <sz val="11"/>
        <color rgb="FF000000"/>
        <rFont val="微软雅黑"/>
        <charset val="134"/>
      </rPr>
      <t>）预估迭代信息填写，已完成8条（</t>
    </r>
    <r>
      <rPr>
        <b/>
        <sz val="11"/>
        <color rgb="FFFF0000"/>
        <rFont val="微软雅黑"/>
        <charset val="134"/>
      </rPr>
      <t>100%</t>
    </r>
    <r>
      <rPr>
        <sz val="11"/>
        <color rgb="FF000000"/>
        <rFont val="微软雅黑"/>
        <charset val="134"/>
      </rPr>
      <t xml:space="preserve">）不纳入理由填写
</t>
    </r>
    <r>
      <rPr>
        <b/>
        <sz val="11"/>
        <color rgb="FF000000"/>
        <rFont val="微软雅黑"/>
        <charset val="134"/>
      </rPr>
      <t>5. 技术负责人确认：</t>
    </r>
    <r>
      <rPr>
        <sz val="11"/>
        <color rgb="FF000000"/>
        <rFont val="微软雅黑"/>
        <charset val="134"/>
      </rPr>
      <t>针对19条同时完成预估迭代和0425交付内容的需求，有6条（</t>
    </r>
    <r>
      <rPr>
        <b/>
        <sz val="11"/>
        <color rgb="FFFF0000"/>
        <rFont val="微软雅黑"/>
        <charset val="134"/>
      </rPr>
      <t>32%</t>
    </r>
    <r>
      <rPr>
        <sz val="11"/>
        <color rgb="FF000000"/>
        <rFont val="微软雅黑"/>
        <charset val="134"/>
      </rPr>
      <t>）需求已完成技术负责人确认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</si>
  <si>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需求收集：共有27条业务需求:
</t>
    </r>
    <r>
      <rPr>
        <sz val="11"/>
        <color rgb="FF000000"/>
        <rFont val="微软雅黑"/>
        <charset val="134"/>
      </rPr>
      <t>a.固收部境内外共23条需求（</t>
    </r>
    <r>
      <rPr>
        <sz val="11"/>
        <color rgb="FFFF0000"/>
        <rFont val="微软雅黑"/>
        <charset val="134"/>
      </rPr>
      <t>10条</t>
    </r>
    <r>
      <rPr>
        <sz val="11"/>
        <color rgb="FF000000"/>
        <rFont val="微软雅黑"/>
        <charset val="134"/>
      </rPr>
      <t>新需求+</t>
    </r>
    <r>
      <rPr>
        <sz val="11"/>
        <color rgb="FFFF0000"/>
        <rFont val="微软雅黑"/>
        <charset val="134"/>
      </rPr>
      <t>13条</t>
    </r>
    <r>
      <rPr>
        <sz val="11"/>
        <color rgb="FF000000"/>
        <rFont val="微软雅黑"/>
        <charset val="134"/>
      </rPr>
      <t>在研需求）。
b.中央交易室&amp;资金运营部&amp;风控部共4条需求(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c.已有27条需求（</t>
    </r>
    <r>
      <rPr>
        <b/>
        <sz val="11"/>
        <color rgb="FFFF0000"/>
        <rFont val="微软雅黑"/>
        <charset val="134"/>
      </rPr>
      <t>100%</t>
    </r>
    <r>
      <rPr>
        <sz val="11"/>
        <color rgb="FF000000"/>
        <rFont val="微软雅黑"/>
        <charset val="134"/>
      </rPr>
      <t>）完成牵头产品经理填写，27条需求（</t>
    </r>
    <r>
      <rPr>
        <b/>
        <sz val="11"/>
        <color rgb="FFFF0000"/>
        <rFont val="微软雅黑"/>
        <charset val="134"/>
      </rPr>
      <t>100%</t>
    </r>
    <r>
      <rPr>
        <sz val="11"/>
        <color rgb="FF000000"/>
        <rFont val="微软雅黑"/>
        <charset val="134"/>
      </rPr>
      <t xml:space="preserve">）完成技术负责人填写。
2. </t>
    </r>
    <r>
      <rPr>
        <b/>
        <sz val="11"/>
        <color rgb="FF000000"/>
        <rFont val="微软雅黑"/>
        <charset val="134"/>
      </rPr>
      <t>BRD准入评估：</t>
    </r>
    <r>
      <rPr>
        <sz val="11"/>
        <color rgb="FF000000"/>
        <rFont val="微软雅黑"/>
        <charset val="134"/>
      </rPr>
      <t>已确定27条需求满足BRD准入标准。评估完成率</t>
    </r>
    <r>
      <rPr>
        <b/>
        <sz val="11"/>
        <color rgb="FFFF0000"/>
        <rFont val="微软雅黑"/>
        <charset val="134"/>
      </rPr>
      <t>100%</t>
    </r>
    <r>
      <rPr>
        <sz val="11"/>
        <color rgb="FF000000"/>
        <rFont val="微软雅黑"/>
        <charset val="134"/>
      </rPr>
      <t>（=27/27）
3</t>
    </r>
    <r>
      <rPr>
        <b/>
        <sz val="11"/>
        <color rgb="FF000000"/>
        <rFont val="微软雅黑"/>
        <charset val="134"/>
      </rPr>
      <t>. 需求纳入评估</t>
    </r>
    <r>
      <rPr>
        <sz val="11"/>
        <color rgb="FF000000"/>
        <rFont val="微软雅黑"/>
        <charset val="134"/>
      </rPr>
      <t>：19条拟纳入，8条不纳入，需求纳入评估完成百分比</t>
    </r>
    <r>
      <rPr>
        <b/>
        <sz val="11"/>
        <color rgb="FFFF0000"/>
        <rFont val="微软雅黑"/>
        <charset val="134"/>
      </rPr>
      <t>100%</t>
    </r>
    <r>
      <rPr>
        <sz val="11"/>
        <color rgb="FF000000"/>
        <rFont val="微软雅黑"/>
        <charset val="134"/>
      </rPr>
      <t>（=27/27）。
4</t>
    </r>
    <r>
      <rPr>
        <b/>
        <sz val="11"/>
        <color rgb="FF000000"/>
        <rFont val="微软雅黑"/>
        <charset val="134"/>
      </rPr>
      <t xml:space="preserve">. 预估迭代评估：
</t>
    </r>
    <r>
      <rPr>
        <sz val="11"/>
        <color rgb="FF000000"/>
        <rFont val="微软雅黑"/>
        <charset val="134"/>
      </rPr>
      <t>a. 针对19条拟纳入需求，已完成19条（</t>
    </r>
    <r>
      <rPr>
        <b/>
        <sz val="11"/>
        <color rgb="FFFF0000"/>
        <rFont val="微软雅黑"/>
        <charset val="134"/>
      </rPr>
      <t>100%</t>
    </r>
    <r>
      <rPr>
        <sz val="11"/>
        <color rgb="FF000000"/>
        <rFont val="微软雅黑"/>
        <charset val="134"/>
      </rPr>
      <t>）需求的预估迭代评估；已完成19条（</t>
    </r>
    <r>
      <rPr>
        <b/>
        <sz val="11"/>
        <color rgb="FFFF0000"/>
        <rFont val="微软雅黑"/>
        <charset val="134"/>
      </rPr>
      <t>100%</t>
    </r>
    <r>
      <rPr>
        <sz val="11"/>
        <color rgb="FF000000"/>
        <rFont val="微软雅黑"/>
        <charset val="134"/>
      </rPr>
      <t>）需求的0425具体交付内容填写。
b.针对8条不纳入需求，已完成8条（</t>
    </r>
    <r>
      <rPr>
        <b/>
        <sz val="11"/>
        <color rgb="FFFF0000"/>
        <rFont val="微软雅黑"/>
        <charset val="134"/>
      </rPr>
      <t>100%</t>
    </r>
    <r>
      <rPr>
        <sz val="11"/>
        <color rgb="FF000000"/>
        <rFont val="微软雅黑"/>
        <charset val="134"/>
      </rPr>
      <t>）预估迭代信息填写，已完成8条（</t>
    </r>
    <r>
      <rPr>
        <b/>
        <sz val="11"/>
        <color rgb="FFFF0000"/>
        <rFont val="微软雅黑"/>
        <charset val="134"/>
      </rPr>
      <t>100%</t>
    </r>
    <r>
      <rPr>
        <sz val="11"/>
        <color rgb="FF000000"/>
        <rFont val="微软雅黑"/>
        <charset val="134"/>
      </rPr>
      <t xml:space="preserve">）不纳入理由填写
</t>
    </r>
    <r>
      <rPr>
        <b/>
        <sz val="11"/>
        <color rgb="FF000000"/>
        <rFont val="微软雅黑"/>
        <charset val="134"/>
      </rPr>
      <t>5. 技术负责人确认：</t>
    </r>
    <r>
      <rPr>
        <sz val="11"/>
        <color rgb="FF000000"/>
        <rFont val="微软雅黑"/>
        <charset val="134"/>
      </rPr>
      <t>针对19条同时完成预估迭代和0425交付内容的需求，有16条（</t>
    </r>
    <r>
      <rPr>
        <b/>
        <sz val="11"/>
        <color rgb="FFFF0000"/>
        <rFont val="微软雅黑"/>
        <charset val="134"/>
      </rPr>
      <t>84%</t>
    </r>
    <r>
      <rPr>
        <sz val="11"/>
        <color rgb="FF000000"/>
        <rFont val="微软雅黑"/>
        <charset val="134"/>
      </rPr>
      <t>）需求已完成技术负责人确认
二、</t>
    </r>
    <r>
      <rPr>
        <b/>
        <sz val="11"/>
        <color rgb="FF000000"/>
        <rFont val="微软雅黑"/>
        <charset val="134"/>
      </rPr>
      <t>风险提示：</t>
    </r>
    <r>
      <rPr>
        <sz val="11"/>
        <color rgb="FF000000"/>
        <rFont val="微软雅黑"/>
        <charset val="134"/>
      </rPr>
      <t xml:space="preserve">
1. 无</t>
    </r>
  </si>
  <si>
    <r>
      <rPr>
        <b/>
        <sz val="11"/>
        <color rgb="FF000000"/>
        <rFont val="微软雅黑"/>
        <charset val="134"/>
      </rPr>
      <t xml:space="preserve">一、进展总结
1. 需求收集：共有27条业务需求:
</t>
    </r>
    <r>
      <rPr>
        <sz val="11"/>
        <color rgb="FF000000"/>
        <rFont val="微软雅黑"/>
        <charset val="134"/>
      </rPr>
      <t>a.固收部境内外共23条需求（</t>
    </r>
    <r>
      <rPr>
        <sz val="11"/>
        <color rgb="FFFF0000"/>
        <rFont val="微软雅黑"/>
        <charset val="134"/>
      </rPr>
      <t>10条</t>
    </r>
    <r>
      <rPr>
        <sz val="11"/>
        <color rgb="FF000000"/>
        <rFont val="微软雅黑"/>
        <charset val="134"/>
      </rPr>
      <t>新需求+</t>
    </r>
    <r>
      <rPr>
        <sz val="11"/>
        <color rgb="FFFF0000"/>
        <rFont val="微软雅黑"/>
        <charset val="134"/>
      </rPr>
      <t>13条</t>
    </r>
    <r>
      <rPr>
        <sz val="11"/>
        <color rgb="FF000000"/>
        <rFont val="微软雅黑"/>
        <charset val="134"/>
      </rPr>
      <t>在研需求）。
b.中央交易室&amp;资金运营部&amp;风控部共4条需求(</t>
    </r>
    <r>
      <rPr>
        <sz val="11"/>
        <color rgb="FFFF0000"/>
        <rFont val="微软雅黑"/>
        <charset val="134"/>
      </rPr>
      <t>1条</t>
    </r>
    <r>
      <rPr>
        <sz val="11"/>
        <color rgb="FF000000"/>
        <rFont val="微软雅黑"/>
        <charset val="134"/>
      </rPr>
      <t>新需求，</t>
    </r>
    <r>
      <rPr>
        <sz val="11"/>
        <color rgb="FFFF0000"/>
        <rFont val="微软雅黑"/>
        <charset val="134"/>
      </rPr>
      <t>3条</t>
    </r>
    <r>
      <rPr>
        <sz val="11"/>
        <color rgb="FF000000"/>
        <rFont val="微软雅黑"/>
        <charset val="134"/>
      </rPr>
      <t>在研需求)。
c.已有27条需求（</t>
    </r>
    <r>
      <rPr>
        <b/>
        <sz val="11"/>
        <color rgb="FFFF0000"/>
        <rFont val="微软雅黑"/>
        <charset val="134"/>
      </rPr>
      <t>100%</t>
    </r>
    <r>
      <rPr>
        <sz val="11"/>
        <color rgb="FF000000"/>
        <rFont val="微软雅黑"/>
        <charset val="134"/>
      </rPr>
      <t>）完成牵头产品经理填写，27条需求（</t>
    </r>
    <r>
      <rPr>
        <b/>
        <sz val="11"/>
        <color rgb="FFFF0000"/>
        <rFont val="微软雅黑"/>
        <charset val="134"/>
      </rPr>
      <t>100%</t>
    </r>
    <r>
      <rPr>
        <sz val="11"/>
        <color rgb="FF000000"/>
        <rFont val="微软雅黑"/>
        <charset val="134"/>
      </rPr>
      <t xml:space="preserve">）完成技术负责人填写。
2. </t>
    </r>
    <r>
      <rPr>
        <b/>
        <sz val="11"/>
        <color rgb="FF000000"/>
        <rFont val="微软雅黑"/>
        <charset val="134"/>
      </rPr>
      <t>BRD准入评估：</t>
    </r>
    <r>
      <rPr>
        <sz val="11"/>
        <color rgb="FF000000"/>
        <rFont val="微软雅黑"/>
        <charset val="134"/>
      </rPr>
      <t>已确定27条需求满足BRD准入标准。评估完成率</t>
    </r>
    <r>
      <rPr>
        <b/>
        <sz val="11"/>
        <color rgb="FFFF0000"/>
        <rFont val="微软雅黑"/>
        <charset val="134"/>
      </rPr>
      <t>100%</t>
    </r>
    <r>
      <rPr>
        <sz val="11"/>
        <color rgb="FF000000"/>
        <rFont val="微软雅黑"/>
        <charset val="134"/>
      </rPr>
      <t>（=27/27）
3</t>
    </r>
    <r>
      <rPr>
        <b/>
        <sz val="11"/>
        <color rgb="FF000000"/>
        <rFont val="微软雅黑"/>
        <charset val="134"/>
      </rPr>
      <t>. 需求纳入评估</t>
    </r>
    <r>
      <rPr>
        <sz val="11"/>
        <color rgb="FF000000"/>
        <rFont val="微软雅黑"/>
        <charset val="134"/>
      </rPr>
      <t>：19条拟纳入，8条不纳入，需求纳入评估完成百分比</t>
    </r>
    <r>
      <rPr>
        <b/>
        <sz val="11"/>
        <color rgb="FFFF0000"/>
        <rFont val="微软雅黑"/>
        <charset val="134"/>
      </rPr>
      <t>100%</t>
    </r>
    <r>
      <rPr>
        <sz val="11"/>
        <color rgb="FF000000"/>
        <rFont val="微软雅黑"/>
        <charset val="134"/>
      </rPr>
      <t>（=27/27）。
4</t>
    </r>
    <r>
      <rPr>
        <b/>
        <sz val="11"/>
        <color rgb="FF000000"/>
        <rFont val="微软雅黑"/>
        <charset val="134"/>
      </rPr>
      <t xml:space="preserve">. 预估迭代评估：
</t>
    </r>
    <r>
      <rPr>
        <sz val="11"/>
        <color rgb="FF000000"/>
        <rFont val="微软雅黑"/>
        <charset val="134"/>
      </rPr>
      <t>a. 针对19条拟纳入需求，已完成19条（</t>
    </r>
    <r>
      <rPr>
        <b/>
        <sz val="11"/>
        <color rgb="FFFF0000"/>
        <rFont val="微软雅黑"/>
        <charset val="134"/>
      </rPr>
      <t>100%</t>
    </r>
    <r>
      <rPr>
        <sz val="11"/>
        <color rgb="FF000000"/>
        <rFont val="微软雅黑"/>
        <charset val="134"/>
      </rPr>
      <t>）需求的预估迭代评估；已完成19条（</t>
    </r>
    <r>
      <rPr>
        <b/>
        <sz val="11"/>
        <color rgb="FFFF0000"/>
        <rFont val="微软雅黑"/>
        <charset val="134"/>
      </rPr>
      <t>100%</t>
    </r>
    <r>
      <rPr>
        <sz val="11"/>
        <color rgb="FF000000"/>
        <rFont val="微软雅黑"/>
        <charset val="134"/>
      </rPr>
      <t>）需求的0425具体交付内容填写。
b.针对8条不纳入需求，已完成8条（</t>
    </r>
    <r>
      <rPr>
        <b/>
        <sz val="11"/>
        <color rgb="FFFF0000"/>
        <rFont val="微软雅黑"/>
        <charset val="134"/>
      </rPr>
      <t>100%</t>
    </r>
    <r>
      <rPr>
        <sz val="11"/>
        <color rgb="FF000000"/>
        <rFont val="微软雅黑"/>
        <charset val="134"/>
      </rPr>
      <t>）预估迭代信息填写，已完成8条（</t>
    </r>
    <r>
      <rPr>
        <b/>
        <sz val="11"/>
        <color rgb="FFFF0000"/>
        <rFont val="微软雅黑"/>
        <charset val="134"/>
      </rPr>
      <t>100%</t>
    </r>
    <r>
      <rPr>
        <sz val="11"/>
        <color rgb="FF000000"/>
        <rFont val="微软雅黑"/>
        <charset val="134"/>
      </rPr>
      <t xml:space="preserve">）不纳入理由填写
</t>
    </r>
    <r>
      <rPr>
        <b/>
        <sz val="11"/>
        <color rgb="FF000000"/>
        <rFont val="微软雅黑"/>
        <charset val="134"/>
      </rPr>
      <t>5. 技术负责人确认：</t>
    </r>
    <r>
      <rPr>
        <sz val="11"/>
        <color rgb="FF000000"/>
        <rFont val="微软雅黑"/>
        <charset val="134"/>
      </rPr>
      <t>针对19条同时完成预估迭代和0425交付内容的需求，有19条（</t>
    </r>
    <r>
      <rPr>
        <b/>
        <sz val="11"/>
        <color rgb="FFFF0000"/>
        <rFont val="微软雅黑"/>
        <charset val="134"/>
      </rPr>
      <t>100%</t>
    </r>
    <r>
      <rPr>
        <sz val="11"/>
        <color rgb="FF000000"/>
        <rFont val="微软雅黑"/>
        <charset val="134"/>
      </rPr>
      <t>）需求已完成技术负责人确认
二、</t>
    </r>
    <r>
      <rPr>
        <b/>
        <sz val="11"/>
        <color rgb="FF000000"/>
        <rFont val="微软雅黑"/>
        <charset val="134"/>
      </rPr>
      <t>风险提示：</t>
    </r>
    <r>
      <rPr>
        <sz val="11"/>
        <color rgb="FF000000"/>
        <rFont val="微软雅黑"/>
        <charset val="134"/>
      </rPr>
      <t xml:space="preserve">
1. 无</t>
    </r>
  </si>
  <si>
    <t>向业务反馈未达到准入的需求列表，启动需求澄清</t>
  </si>
  <si>
    <t>针对未达到准入标准的BRD，与业务沟通澄清</t>
  </si>
  <si>
    <t>跟进未达准入BRD的澄清进度
协调产品和研发对齐工作节奏</t>
  </si>
  <si>
    <t>筛选出本迭代肯定排不了的需求（BRD满足准入）</t>
  </si>
  <si>
    <r>
      <rPr>
        <b/>
        <sz val="11"/>
        <color rgb="FF000000"/>
        <rFont val="微软雅黑"/>
        <charset val="134"/>
      </rPr>
      <t>进度跟踪：</t>
    </r>
    <r>
      <rPr>
        <sz val="11"/>
        <color rgb="FF000000"/>
        <rFont val="微软雅黑"/>
        <charset val="134"/>
      </rPr>
      <t xml:space="preserve">
1. 每日跟踪各团队工作进展</t>
    </r>
  </si>
  <si>
    <r>
      <rPr>
        <b/>
        <sz val="11"/>
        <color rgb="FF000000"/>
        <rFont val="微软雅黑"/>
        <charset val="134"/>
      </rPr>
      <t>BRD评估：</t>
    </r>
    <r>
      <rPr>
        <sz val="11"/>
        <color rgb="FF000000"/>
        <rFont val="微软雅黑"/>
        <charset val="134"/>
      </rPr>
      <t xml:space="preserve">
1.登记是否纳入交付
2.登记预估迭代内容</t>
    </r>
  </si>
  <si>
    <r>
      <rPr>
        <b/>
        <sz val="11"/>
        <color rgb="FF000000"/>
        <rFont val="微软雅黑"/>
        <charset val="134"/>
      </rPr>
      <t>BRD评估：</t>
    </r>
    <r>
      <rPr>
        <sz val="11"/>
        <color rgb="FF000000"/>
        <rFont val="微软雅黑"/>
        <charset val="134"/>
      </rPr>
      <t xml:space="preserve">
1. 研发侧交付评估，与产品一起完成BRD评估
2. 确认产品团队登记的预估迭代内容
3. 登记技术内生性需求</t>
    </r>
  </si>
  <si>
    <t>向固收反馈需求排期评估结果</t>
  </si>
  <si>
    <t>迭代排期阶段</t>
  </si>
  <si>
    <t>组织需求澄清过程，发起会邀</t>
  </si>
  <si>
    <t>明确本迭代各模块具体交付内容</t>
  </si>
  <si>
    <t>向研发做需求澄清</t>
  </si>
  <si>
    <t>参与需求澄清</t>
  </si>
  <si>
    <t>向研发需求澄清</t>
  </si>
  <si>
    <t>需求澄清结果反馈</t>
  </si>
  <si>
    <t>研发阶段.....</t>
  </si>
  <si>
    <t>监督需求澄清反馈结果/启动研发</t>
  </si>
  <si>
    <t>1.需求澄清结果反馈
2.启动本迭代研发</t>
  </si>
  <si>
    <t>......</t>
  </si>
</sst>
</file>

<file path=xl/styles.xml><?xml version="1.0" encoding="utf-8"?>
<styleSheet xmlns="http://schemas.openxmlformats.org/spreadsheetml/2006/main">
  <numFmts count="38">
    <numFmt numFmtId="176" formatCode="[=1]&quot;☑&quot;;[=0]&quot;☐&quot;;0;@"/>
    <numFmt numFmtId="177" formatCode="[DBNum1][$-804]yyyy&quot;年&quot;m&quot;月&quot;"/>
    <numFmt numFmtId="6" formatCode="&quot;￥&quot;#,##0;[Red]&quot;￥&quot;\-#,##0"/>
    <numFmt numFmtId="178" formatCode="\¥#,##0.00;[Red]\¥\-#,##0.00"/>
    <numFmt numFmtId="23" formatCode="\$#,##0_);\(\$#,##0\)"/>
    <numFmt numFmtId="179" formatCode="#\ ??/??"/>
    <numFmt numFmtId="180" formatCode="mmmm\-yy"/>
    <numFmt numFmtId="5" formatCode="&quot;￥&quot;#,##0;&quot;￥&quot;\-#,##0"/>
    <numFmt numFmtId="24" formatCode="\$#,##0_);[Red]\(\$#,##0\)"/>
    <numFmt numFmtId="181" formatCode="\¥#,##0.00;\¥\-#,##0.00"/>
    <numFmt numFmtId="26" formatCode="\$#,##0.00_);[Red]\(\$#,##0.00\)"/>
    <numFmt numFmtId="182" formatCode="[DBNum1][$-804]yyyy&quot;年&quot;m&quot;月&quot;d&quot;日&quot;"/>
    <numFmt numFmtId="183" formatCode="[$-804]aaa"/>
    <numFmt numFmtId="184" formatCode="yyyy/m/d;@"/>
    <numFmt numFmtId="185" formatCode="h:mm:ss\ AM/PM"/>
    <numFmt numFmtId="186" formatCode="dd\-mmm\-yy"/>
    <numFmt numFmtId="187" formatCode="[$-804]aaaa"/>
    <numFmt numFmtId="25" formatCode="\$#,##0.00_);\(\$#,##0.00\)"/>
    <numFmt numFmtId="188" formatCode="yyyy/m/d\ h:mm\ AM/PM"/>
    <numFmt numFmtId="189" formatCode="mm/dd/yy"/>
    <numFmt numFmtId="190" formatCode="\¥#,##0;[Red]\¥\-#,##0"/>
    <numFmt numFmtId="191" formatCode="yy/m/d"/>
    <numFmt numFmtId="192" formatCode="m/d"/>
    <numFmt numFmtId="193" formatCode="mmmmm"/>
    <numFmt numFmtId="194" formatCode="mmmmm\-yy"/>
    <numFmt numFmtId="195" formatCode="h:mm\ AM/PM"/>
    <numFmt numFmtId="8" formatCode="&quot;￥&quot;#,##0.00;[Red]&quot;￥&quot;\-#,##0.00"/>
    <numFmt numFmtId="44" formatCode="_ &quot;￥&quot;* #,##0.00_ ;_ &quot;￥&quot;* \-#,##0.00_ ;_ &quot;￥&quot;* &quot;-&quot;??_ ;_ @_ "/>
    <numFmt numFmtId="196" formatCode="[DBNum1][$-804]m&quot;月&quot;d&quot;日&quot;"/>
    <numFmt numFmtId="197" formatCode="#\ ??"/>
    <numFmt numFmtId="198" formatCode="[DBNum1]h&quot;时&quot;mm&quot;分&quot;"/>
    <numFmt numFmtId="199" formatCode="[DBNum1]上午/下午h&quot;时&quot;mm&quot;分&quot;"/>
    <numFmt numFmtId="42" formatCode="_ &quot;￥&quot;* #,##0_ ;_ &quot;￥&quot;* \-#,##0_ ;_ &quot;￥&quot;* &quot;-&quot;_ ;_ @_ "/>
    <numFmt numFmtId="7" formatCode="&quot;￥&quot;#,##0.00;&quot;￥&quot;\-#,##0.00"/>
    <numFmt numFmtId="41" formatCode="_ * #,##0_ ;_ * \-#,##0_ ;_ * &quot;-&quot;_ ;_ @_ "/>
    <numFmt numFmtId="200" formatCode="#\ ?/?"/>
    <numFmt numFmtId="201" formatCode="\¥#,##0;\¥\-#,##0"/>
    <numFmt numFmtId="43" formatCode="_ * #,##0.00_ ;_ * \-#,##0.00_ ;_ * &quot;-&quot;??_ ;_ @_ "/>
  </numFmts>
  <fonts count="46">
    <font>
      <sz val="11"/>
      <color theme="1"/>
      <name val="宋体"/>
      <charset val="134"/>
      <scheme val="minor"/>
    </font>
    <font>
      <sz val="11"/>
      <color theme="1"/>
      <name val="微软雅黑"/>
      <charset val="134"/>
    </font>
    <font>
      <b/>
      <sz val="11"/>
      <color rgb="FFFFFFFF"/>
      <name val="微软雅黑"/>
      <charset val="134"/>
    </font>
    <font>
      <b/>
      <sz val="11"/>
      <color rgb="FF000000"/>
      <name val="微软雅黑"/>
      <charset val="134"/>
    </font>
    <font>
      <sz val="11"/>
      <color rgb="FF000000"/>
      <name val="微软雅黑"/>
      <charset val="134"/>
    </font>
    <font>
      <b/>
      <sz val="11"/>
      <color theme="1"/>
      <name val="微软雅黑"/>
      <charset val="134"/>
    </font>
    <font>
      <b/>
      <sz val="12"/>
      <color rgb="FF000000"/>
      <name val="微软雅黑"/>
      <charset val="134"/>
    </font>
    <font>
      <sz val="12"/>
      <color rgb="FF000000"/>
      <name val="微软雅黑"/>
      <charset val="134"/>
    </font>
    <font>
      <b/>
      <sz val="12"/>
      <color rgb="FFFFFFFF"/>
      <name val="微软雅黑"/>
      <charset val="134"/>
    </font>
    <font>
      <sz val="12"/>
      <color rgb="FFFFFFFF"/>
      <name val="微软雅黑"/>
      <charset val="134"/>
    </font>
    <font>
      <strike/>
      <sz val="11"/>
      <color theme="1"/>
      <name val="微软雅黑"/>
      <charset val="134"/>
    </font>
    <font>
      <sz val="11"/>
      <color rgb="FF0000FF"/>
      <name val="微软雅黑"/>
      <charset val="0"/>
    </font>
    <font>
      <u/>
      <sz val="11"/>
      <color rgb="FF0000FF"/>
      <name val="微软雅黑"/>
      <charset val="134"/>
    </font>
    <font>
      <sz val="10"/>
      <color theme="1"/>
      <name val="微软雅黑"/>
      <charset val="134"/>
    </font>
    <font>
      <b/>
      <sz val="11"/>
      <color rgb="FFC00000"/>
      <name val="微软雅黑"/>
      <charset val="134"/>
    </font>
    <font>
      <u/>
      <sz val="10.5"/>
      <color rgb="FF0000FF"/>
      <name val="宋体"/>
      <charset val="134"/>
      <scheme val="minor"/>
    </font>
    <font>
      <sz val="11"/>
      <color rgb="FF172B4D"/>
      <name val="微软雅黑"/>
      <charset val="134"/>
    </font>
    <font>
      <sz val="11"/>
      <color rgb="FF0000FF"/>
      <name val="微软雅黑"/>
      <charset val="134"/>
    </font>
    <font>
      <strike/>
      <sz val="11"/>
      <color rgb="FF000000"/>
      <name val="微软雅黑"/>
      <charset val="134"/>
    </font>
    <font>
      <strike/>
      <u/>
      <sz val="11"/>
      <color rgb="FF0000FF"/>
      <name val="微软雅黑"/>
      <charset val="134"/>
    </font>
    <font>
      <strike/>
      <sz val="11"/>
      <color rgb="FF172B4D"/>
      <name val="微软雅黑"/>
      <charset val="134"/>
    </font>
    <font>
      <sz val="10"/>
      <color rgb="FF000000"/>
      <name val="微软雅黑"/>
      <charset val="134"/>
    </font>
    <font>
      <sz val="11"/>
      <color rgb="FF000000"/>
      <name val="微软雅黑"/>
      <charset val="0"/>
    </font>
    <font>
      <sz val="11"/>
      <color rgb="FFFF0000"/>
      <name val="微软雅黑"/>
      <charset val="134"/>
    </font>
    <font>
      <sz val="11"/>
      <color rgb="FFFA7D00"/>
      <name val="宋体"/>
      <charset val="0"/>
      <scheme val="minor"/>
    </font>
    <font>
      <sz val="11"/>
      <color theme="0"/>
      <name val="宋体"/>
      <charset val="0"/>
      <scheme val="minor"/>
    </font>
    <font>
      <sz val="11"/>
      <color theme="1"/>
      <name val="宋体"/>
      <charset val="0"/>
      <scheme val="minor"/>
    </font>
    <font>
      <b/>
      <sz val="11"/>
      <color theme="3"/>
      <name val="宋体"/>
      <charset val="134"/>
      <scheme val="minor"/>
    </font>
    <font>
      <b/>
      <sz val="13"/>
      <color theme="3"/>
      <name val="宋体"/>
      <charset val="134"/>
      <scheme val="minor"/>
    </font>
    <font>
      <b/>
      <sz val="15"/>
      <color theme="3"/>
      <name val="宋体"/>
      <charset val="134"/>
      <scheme val="minor"/>
    </font>
    <font>
      <b/>
      <sz val="18"/>
      <color theme="3"/>
      <name val="宋体"/>
      <charset val="134"/>
      <scheme val="minor"/>
    </font>
    <font>
      <i/>
      <sz val="11"/>
      <color rgb="FF7F7F7F"/>
      <name val="宋体"/>
      <charset val="0"/>
      <scheme val="minor"/>
    </font>
    <font>
      <sz val="11"/>
      <color rgb="FFFF0000"/>
      <name val="宋体"/>
      <charset val="0"/>
      <scheme val="minor"/>
    </font>
    <font>
      <b/>
      <sz val="11"/>
      <color rgb="FF3F3F3F"/>
      <name val="宋体"/>
      <charset val="0"/>
      <scheme val="minor"/>
    </font>
    <font>
      <sz val="11"/>
      <color rgb="FF006100"/>
      <name val="宋体"/>
      <charset val="0"/>
      <scheme val="minor"/>
    </font>
    <font>
      <u/>
      <sz val="11"/>
      <color rgb="FF800080"/>
      <name val="宋体"/>
      <charset val="0"/>
      <scheme val="minor"/>
    </font>
    <font>
      <b/>
      <sz val="11"/>
      <color rgb="FFFA7D00"/>
      <name val="宋体"/>
      <charset val="0"/>
      <scheme val="minor"/>
    </font>
    <font>
      <sz val="11"/>
      <color rgb="FF9C0006"/>
      <name val="宋体"/>
      <charset val="0"/>
      <scheme val="minor"/>
    </font>
    <font>
      <u/>
      <sz val="11"/>
      <color rgb="FF0000FF"/>
      <name val="宋体"/>
      <charset val="0"/>
      <scheme val="minor"/>
    </font>
    <font>
      <b/>
      <sz val="11"/>
      <color rgb="FFFFFFFF"/>
      <name val="宋体"/>
      <charset val="0"/>
      <scheme val="minor"/>
    </font>
    <font>
      <b/>
      <sz val="11"/>
      <color theme="1"/>
      <name val="宋体"/>
      <charset val="0"/>
      <scheme val="minor"/>
    </font>
    <font>
      <sz val="11"/>
      <color rgb="FF9C6500"/>
      <name val="宋体"/>
      <charset val="0"/>
      <scheme val="minor"/>
    </font>
    <font>
      <sz val="11"/>
      <color rgb="FF3F3F76"/>
      <name val="宋体"/>
      <charset val="0"/>
      <scheme val="minor"/>
    </font>
    <font>
      <sz val="12"/>
      <color rgb="FFFF0000"/>
      <name val="微软雅黑"/>
      <charset val="134"/>
    </font>
    <font>
      <b/>
      <sz val="12"/>
      <color rgb="FFFF0000"/>
      <name val="微软雅黑"/>
      <charset val="134"/>
    </font>
    <font>
      <b/>
      <sz val="11"/>
      <color rgb="FFFF0000"/>
      <name val="微软雅黑"/>
      <charset val="134"/>
    </font>
  </fonts>
  <fills count="47">
    <fill>
      <patternFill patternType="none"/>
    </fill>
    <fill>
      <patternFill patternType="gray125"/>
    </fill>
    <fill>
      <patternFill patternType="solid">
        <fgColor rgb="FF2F5597"/>
        <bgColor indexed="64"/>
      </patternFill>
    </fill>
    <fill>
      <patternFill patternType="solid">
        <fgColor rgb="FFFFFF00"/>
        <bgColor indexed="64"/>
      </patternFill>
    </fill>
    <fill>
      <patternFill patternType="solid">
        <fgColor rgb="FFBDD7EE"/>
        <bgColor indexed="64"/>
      </patternFill>
    </fill>
    <fill>
      <patternFill patternType="solid">
        <fgColor rgb="FF2E75B6"/>
        <bgColor indexed="64"/>
      </patternFill>
    </fill>
    <fill>
      <patternFill patternType="solid">
        <fgColor rgb="FFE2F0D9"/>
        <bgColor indexed="64"/>
      </patternFill>
    </fill>
    <fill>
      <patternFill patternType="solid">
        <fgColor rgb="FF385723"/>
        <bgColor indexed="64"/>
      </patternFill>
    </fill>
    <fill>
      <patternFill patternType="solid">
        <fgColor rgb="FF9DC3E6"/>
        <bgColor indexed="64"/>
      </patternFill>
    </fill>
    <fill>
      <patternFill patternType="solid">
        <fgColor rgb="FFBFBFBF"/>
        <bgColor indexed="64"/>
      </patternFill>
    </fill>
    <fill>
      <patternFill patternType="solid">
        <fgColor rgb="FF8FAADC"/>
        <bgColor indexed="64"/>
      </patternFill>
    </fill>
    <fill>
      <patternFill patternType="solid">
        <fgColor rgb="FFFCE4D6"/>
        <bgColor indexed="64"/>
      </patternFill>
    </fill>
    <fill>
      <patternFill patternType="solid">
        <fgColor rgb="FFFFFFFF"/>
        <bgColor indexed="64"/>
      </patternFill>
    </fill>
    <fill>
      <patternFill patternType="solid">
        <fgColor rgb="FFC5E0B4"/>
        <bgColor indexed="64"/>
      </patternFill>
    </fill>
    <fill>
      <patternFill patternType="solid">
        <fgColor rgb="FFD6DCE4"/>
        <bgColor indexed="64"/>
      </patternFill>
    </fill>
    <fill>
      <patternFill patternType="solid">
        <fgColor rgb="FFED7D31"/>
        <bgColor indexed="64"/>
      </patternFill>
    </fill>
    <fill>
      <patternFill patternType="solid">
        <fgColor theme="9"/>
        <bgColor indexed="64"/>
      </patternFill>
    </fill>
    <fill>
      <patternFill patternType="solid">
        <fgColor theme="7" tint="0.799981688894314"/>
        <bgColor indexed="64"/>
      </patternFill>
    </fill>
    <fill>
      <patternFill patternType="solid">
        <fgColor theme="8" tint="0.599993896298105"/>
        <bgColor indexed="64"/>
      </patternFill>
    </fill>
    <fill>
      <patternFill patternType="solid">
        <fgColor theme="8"/>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rgb="FFF2F2F2"/>
        <bgColor indexed="64"/>
      </patternFill>
    </fill>
    <fill>
      <patternFill patternType="solid">
        <fgColor theme="8" tint="0.799981688894314"/>
        <bgColor indexed="64"/>
      </patternFill>
    </fill>
    <fill>
      <patternFill patternType="solid">
        <fgColor theme="5" tint="0.399975585192419"/>
        <bgColor indexed="64"/>
      </patternFill>
    </fill>
    <fill>
      <patternFill patternType="solid">
        <fgColor rgb="FFC6EFCE"/>
        <bgColor indexed="64"/>
      </patternFill>
    </fill>
    <fill>
      <patternFill patternType="solid">
        <fgColor theme="4"/>
        <bgColor indexed="64"/>
      </patternFill>
    </fill>
    <fill>
      <patternFill patternType="solid">
        <fgColor theme="4" tint="0.599993896298105"/>
        <bgColor indexed="64"/>
      </patternFill>
    </fill>
    <fill>
      <patternFill patternType="solid">
        <fgColor theme="9" tint="0.599993896298105"/>
        <bgColor indexed="64"/>
      </patternFill>
    </fill>
    <fill>
      <patternFill patternType="solid">
        <fgColor rgb="FFFFFFCC"/>
        <bgColor indexed="64"/>
      </patternFill>
    </fill>
    <fill>
      <patternFill patternType="solid">
        <fgColor rgb="FFFFC7CE"/>
        <bgColor indexed="64"/>
      </patternFill>
    </fill>
    <fill>
      <patternFill patternType="solid">
        <fgColor theme="7" tint="0.399975585192419"/>
        <bgColor indexed="64"/>
      </patternFill>
    </fill>
    <fill>
      <patternFill patternType="solid">
        <fgColor rgb="FFA5A5A5"/>
        <bgColor indexed="64"/>
      </patternFill>
    </fill>
    <fill>
      <patternFill patternType="solid">
        <fgColor theme="4" tint="0.399975585192419"/>
        <bgColor indexed="64"/>
      </patternFill>
    </fill>
    <fill>
      <patternFill patternType="solid">
        <fgColor theme="8" tint="0.399975585192419"/>
        <bgColor indexed="64"/>
      </patternFill>
    </fill>
    <fill>
      <patternFill patternType="solid">
        <fgColor theme="5"/>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rgb="FFFFEB9C"/>
        <bgColor indexed="64"/>
      </patternFill>
    </fill>
    <fill>
      <patternFill patternType="solid">
        <fgColor theme="4" tint="0.799981688894314"/>
        <bgColor indexed="64"/>
      </patternFill>
    </fill>
    <fill>
      <patternFill patternType="solid">
        <fgColor theme="5" tint="0.799981688894314"/>
        <bgColor indexed="64"/>
      </patternFill>
    </fill>
    <fill>
      <patternFill patternType="solid">
        <fgColor theme="7"/>
        <bgColor indexed="64"/>
      </patternFill>
    </fill>
    <fill>
      <patternFill patternType="solid">
        <fgColor theme="6"/>
        <bgColor indexed="64"/>
      </patternFill>
    </fill>
    <fill>
      <patternFill patternType="solid">
        <fgColor theme="9" tint="0.399975585192419"/>
        <bgColor indexed="64"/>
      </patternFill>
    </fill>
    <fill>
      <patternFill patternType="solid">
        <fgColor rgb="FFFFCC99"/>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bottom style="double">
        <color rgb="FFFF8001"/>
      </bottom>
      <diagonal/>
    </border>
    <border>
      <left/>
      <right/>
      <top/>
      <bottom style="medium">
        <color theme="4" tint="0.499984740745262"/>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s>
  <cellStyleXfs count="49">
    <xf numFmtId="0" fontId="0" fillId="0" borderId="0">
      <alignment vertical="center"/>
    </xf>
    <xf numFmtId="0" fontId="25" fillId="45" borderId="0" applyNumberFormat="0" applyBorder="0" applyAlignment="0" applyProtection="0">
      <alignment vertical="center"/>
    </xf>
    <xf numFmtId="0" fontId="26" fillId="17" borderId="0" applyNumberFormat="0" applyBorder="0" applyAlignment="0" applyProtection="0">
      <alignment vertical="center"/>
    </xf>
    <xf numFmtId="0" fontId="25" fillId="43" borderId="0" applyNumberFormat="0" applyBorder="0" applyAlignment="0" applyProtection="0">
      <alignment vertical="center"/>
    </xf>
    <xf numFmtId="0" fontId="42" fillId="46" borderId="20" applyNumberFormat="0" applyAlignment="0" applyProtection="0">
      <alignment vertical="center"/>
    </xf>
    <xf numFmtId="0" fontId="26" fillId="22" borderId="0" applyNumberFormat="0" applyBorder="0" applyAlignment="0" applyProtection="0">
      <alignment vertical="center"/>
    </xf>
    <xf numFmtId="0" fontId="26" fillId="39" borderId="0" applyNumberFormat="0" applyBorder="0" applyAlignment="0" applyProtection="0">
      <alignment vertical="center"/>
    </xf>
    <xf numFmtId="44" fontId="0" fillId="0" borderId="0" applyFont="0" applyFill="0" applyBorder="0" applyAlignment="0" applyProtection="0">
      <alignment vertical="center"/>
    </xf>
    <xf numFmtId="0" fontId="25" fillId="44" borderId="0" applyNumberFormat="0" applyBorder="0" applyAlignment="0" applyProtection="0">
      <alignment vertical="center"/>
    </xf>
    <xf numFmtId="9" fontId="0" fillId="0" borderId="0" applyFont="0" applyFill="0" applyBorder="0" applyAlignment="0" applyProtection="0">
      <alignment vertical="center"/>
    </xf>
    <xf numFmtId="0" fontId="25" fillId="26"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5" fillId="35" borderId="0" applyNumberFormat="0" applyBorder="0" applyAlignment="0" applyProtection="0">
      <alignment vertical="center"/>
    </xf>
    <xf numFmtId="0" fontId="25" fillId="33" borderId="0" applyNumberFormat="0" applyBorder="0" applyAlignment="0" applyProtection="0">
      <alignment vertical="center"/>
    </xf>
    <xf numFmtId="0" fontId="36" fillId="24" borderId="20" applyNumberFormat="0" applyAlignment="0" applyProtection="0">
      <alignment vertical="center"/>
    </xf>
    <xf numFmtId="0" fontId="25" fillId="28" borderId="0" applyNumberFormat="0" applyBorder="0" applyAlignment="0" applyProtection="0">
      <alignment vertical="center"/>
    </xf>
    <xf numFmtId="0" fontId="41" fillId="40" borderId="0" applyNumberFormat="0" applyBorder="0" applyAlignment="0" applyProtection="0">
      <alignment vertical="center"/>
    </xf>
    <xf numFmtId="0" fontId="26" fillId="25" borderId="0" applyNumberFormat="0" applyBorder="0" applyAlignment="0" applyProtection="0">
      <alignment vertical="center"/>
    </xf>
    <xf numFmtId="0" fontId="34" fillId="27" borderId="0" applyNumberFormat="0" applyBorder="0" applyAlignment="0" applyProtection="0">
      <alignment vertical="center"/>
    </xf>
    <xf numFmtId="0" fontId="26" fillId="41" borderId="0" applyNumberFormat="0" applyBorder="0" applyAlignment="0" applyProtection="0">
      <alignment vertical="center"/>
    </xf>
    <xf numFmtId="0" fontId="40" fillId="0" borderId="22" applyNumberFormat="0" applyFill="0" applyAlignment="0" applyProtection="0">
      <alignment vertical="center"/>
    </xf>
    <xf numFmtId="0" fontId="37" fillId="32" borderId="0" applyNumberFormat="0" applyBorder="0" applyAlignment="0" applyProtection="0">
      <alignment vertical="center"/>
    </xf>
    <xf numFmtId="0" fontId="39" fillId="34" borderId="21" applyNumberFormat="0" applyAlignment="0" applyProtection="0">
      <alignment vertical="center"/>
    </xf>
    <xf numFmtId="0" fontId="33" fillId="24" borderId="18" applyNumberFormat="0" applyAlignment="0" applyProtection="0">
      <alignment vertical="center"/>
    </xf>
    <xf numFmtId="0" fontId="29" fillId="0" borderId="17" applyNumberFormat="0" applyFill="0" applyAlignment="0" applyProtection="0">
      <alignment vertical="center"/>
    </xf>
    <xf numFmtId="0" fontId="31" fillId="0" borderId="0" applyNumberFormat="0" applyFill="0" applyBorder="0" applyAlignment="0" applyProtection="0">
      <alignment vertical="center"/>
    </xf>
    <xf numFmtId="0" fontId="26" fillId="42" borderId="0" applyNumberFormat="0" applyBorder="0" applyAlignment="0" applyProtection="0">
      <alignment vertical="center"/>
    </xf>
    <xf numFmtId="0" fontId="27" fillId="0" borderId="0" applyNumberFormat="0" applyFill="0" applyBorder="0" applyAlignment="0" applyProtection="0">
      <alignment vertical="center"/>
    </xf>
    <xf numFmtId="42" fontId="0" fillId="0" borderId="0" applyFont="0" applyFill="0" applyBorder="0" applyAlignment="0" applyProtection="0">
      <alignment vertical="center"/>
    </xf>
    <xf numFmtId="0" fontId="26" fillId="38" borderId="0" applyNumberFormat="0" applyBorder="0" applyAlignment="0" applyProtection="0">
      <alignment vertical="center"/>
    </xf>
    <xf numFmtId="43" fontId="0" fillId="0" borderId="0" applyFont="0" applyFill="0" applyBorder="0" applyAlignment="0" applyProtection="0">
      <alignment vertical="center"/>
    </xf>
    <xf numFmtId="0" fontId="35"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26" fillId="21" borderId="0" applyNumberFormat="0" applyBorder="0" applyAlignment="0" applyProtection="0">
      <alignment vertical="center"/>
    </xf>
    <xf numFmtId="0" fontId="32" fillId="0" borderId="0" applyNumberFormat="0" applyFill="0" applyBorder="0" applyAlignment="0" applyProtection="0">
      <alignment vertical="center"/>
    </xf>
    <xf numFmtId="0" fontId="25" fillId="23" borderId="0" applyNumberFormat="0" applyBorder="0" applyAlignment="0" applyProtection="0">
      <alignment vertical="center"/>
    </xf>
    <xf numFmtId="0" fontId="0" fillId="31" borderId="19" applyNumberFormat="0" applyFont="0" applyAlignment="0" applyProtection="0">
      <alignment vertical="center"/>
    </xf>
    <xf numFmtId="0" fontId="26" fillId="20" borderId="0" applyNumberFormat="0" applyBorder="0" applyAlignment="0" applyProtection="0">
      <alignment vertical="center"/>
    </xf>
    <xf numFmtId="0" fontId="25" fillId="19" borderId="0" applyNumberFormat="0" applyBorder="0" applyAlignment="0" applyProtection="0">
      <alignment vertical="center"/>
    </xf>
    <xf numFmtId="0" fontId="26" fillId="30" borderId="0" applyNumberFormat="0" applyBorder="0" applyAlignment="0" applyProtection="0">
      <alignment vertical="center"/>
    </xf>
    <xf numFmtId="0" fontId="38" fillId="0" borderId="0" applyNumberFormat="0" applyFill="0" applyBorder="0" applyAlignment="0" applyProtection="0">
      <alignment vertical="center"/>
    </xf>
    <xf numFmtId="41" fontId="0" fillId="0" borderId="0" applyFont="0" applyFill="0" applyBorder="0" applyAlignment="0" applyProtection="0">
      <alignment vertical="center"/>
    </xf>
    <xf numFmtId="0" fontId="28" fillId="0" borderId="17" applyNumberFormat="0" applyFill="0" applyAlignment="0" applyProtection="0">
      <alignment vertical="center"/>
    </xf>
    <xf numFmtId="0" fontId="26" fillId="18" borderId="0" applyNumberFormat="0" applyBorder="0" applyAlignment="0" applyProtection="0">
      <alignment vertical="center"/>
    </xf>
    <xf numFmtId="0" fontId="27" fillId="0" borderId="16" applyNumberFormat="0" applyFill="0" applyAlignment="0" applyProtection="0">
      <alignment vertical="center"/>
    </xf>
    <xf numFmtId="0" fontId="25" fillId="16" borderId="0" applyNumberFormat="0" applyBorder="0" applyAlignment="0" applyProtection="0">
      <alignment vertical="center"/>
    </xf>
    <xf numFmtId="0" fontId="26" fillId="29" borderId="0" applyNumberFormat="0" applyBorder="0" applyAlignment="0" applyProtection="0">
      <alignment vertical="center"/>
    </xf>
    <xf numFmtId="0" fontId="24" fillId="0" borderId="15" applyNumberFormat="0" applyFill="0" applyAlignment="0" applyProtection="0">
      <alignment vertical="center"/>
    </xf>
  </cellStyleXfs>
  <cellXfs count="196">
    <xf numFmtId="0" fontId="0" fillId="0" borderId="0" xfId="0">
      <alignment vertical="center"/>
    </xf>
    <xf numFmtId="0" fontId="1" fillId="0" borderId="0" xfId="0" applyFont="1">
      <alignment vertical="center"/>
    </xf>
    <xf numFmtId="0" fontId="2" fillId="2" borderId="1" xfId="0" applyFont="1" applyFill="1" applyBorder="1" applyAlignment="1">
      <alignment horizontal="center" vertical="center"/>
    </xf>
    <xf numFmtId="0" fontId="2" fillId="2" borderId="1" xfId="0" applyFont="1" applyFill="1" applyBorder="1">
      <alignment vertical="center"/>
    </xf>
    <xf numFmtId="0" fontId="3" fillId="0" borderId="1" xfId="0" applyFont="1" applyBorder="1" applyAlignment="1">
      <alignment horizontal="center" vertical="center" wrapText="1"/>
    </xf>
    <xf numFmtId="14" fontId="1" fillId="0" borderId="1" xfId="0" applyNumberFormat="1" applyFont="1" applyBorder="1">
      <alignment vertical="center"/>
    </xf>
    <xf numFmtId="0" fontId="4" fillId="0" borderId="1" xfId="0" applyFont="1" applyBorder="1" applyAlignment="1">
      <alignment vertical="center" wrapText="1"/>
    </xf>
    <xf numFmtId="0" fontId="5" fillId="0" borderId="1" xfId="0" applyFont="1" applyBorder="1" applyAlignment="1">
      <alignment horizontal="center" vertical="center" wrapText="1"/>
    </xf>
    <xf numFmtId="0" fontId="4" fillId="0" borderId="1" xfId="0" applyFont="1" applyBorder="1" applyAlignment="1">
      <alignment horizontal="left"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0" fontId="3" fillId="0" borderId="4" xfId="0" applyFont="1" applyBorder="1" applyAlignment="1">
      <alignment horizontal="center" vertical="center" wrapText="1"/>
    </xf>
    <xf numFmtId="0" fontId="4" fillId="0" borderId="1" xfId="0" applyFont="1" applyBorder="1">
      <alignment vertical="center"/>
    </xf>
    <xf numFmtId="0" fontId="1" fillId="0" borderId="1" xfId="0" applyFont="1" applyBorder="1">
      <alignment vertical="center"/>
    </xf>
    <xf numFmtId="0" fontId="3" fillId="0" borderId="1" xfId="0" applyFont="1" applyBorder="1" applyAlignment="1">
      <alignment horizontal="center" vertical="center"/>
    </xf>
    <xf numFmtId="0" fontId="5" fillId="0" borderId="1" xfId="0" applyFont="1" applyBorder="1" applyAlignment="1">
      <alignment horizontal="center" vertical="center"/>
    </xf>
    <xf numFmtId="0" fontId="4" fillId="0" borderId="1" xfId="0" applyFont="1" applyBorder="1" applyAlignment="1">
      <alignment horizontal="center" vertical="center"/>
    </xf>
    <xf numFmtId="0" fontId="1" fillId="0" borderId="1" xfId="0" applyFont="1" applyBorder="1" applyAlignment="1">
      <alignment horizontal="center" vertical="center"/>
    </xf>
    <xf numFmtId="0" fontId="3" fillId="3" borderId="1" xfId="0" applyFont="1" applyFill="1" applyBorder="1" applyAlignment="1">
      <alignment horizontal="center" vertical="center" wrapText="1"/>
    </xf>
    <xf numFmtId="184" fontId="3" fillId="3" borderId="1" xfId="0" applyNumberFormat="1" applyFont="1" applyFill="1" applyBorder="1" applyAlignment="1">
      <alignment horizontal="center" vertical="center" wrapText="1"/>
    </xf>
    <xf numFmtId="0" fontId="4" fillId="0" borderId="2" xfId="0" applyFont="1" applyBorder="1" applyAlignment="1">
      <alignment horizontal="center" vertical="center"/>
    </xf>
    <xf numFmtId="0" fontId="3" fillId="0" borderId="2" xfId="0" applyFont="1" applyBorder="1" applyAlignment="1">
      <alignment horizontal="left" vertical="center" wrapText="1"/>
    </xf>
    <xf numFmtId="0" fontId="4" fillId="0" borderId="3" xfId="0" applyFont="1" applyBorder="1" applyAlignment="1">
      <alignment horizontal="center" vertical="center"/>
    </xf>
    <xf numFmtId="0" fontId="4" fillId="0" borderId="3" xfId="0" applyFont="1" applyBorder="1" applyAlignment="1">
      <alignment horizontal="left" vertical="center" wrapText="1"/>
    </xf>
    <xf numFmtId="0" fontId="4" fillId="0" borderId="4" xfId="0" applyFont="1" applyBorder="1" applyAlignment="1">
      <alignment horizontal="center" vertical="center"/>
    </xf>
    <xf numFmtId="0" fontId="4" fillId="0" borderId="4" xfId="0" applyFont="1" applyBorder="1" applyAlignment="1">
      <alignment horizontal="left" vertical="center" wrapText="1"/>
    </xf>
    <xf numFmtId="0" fontId="1" fillId="0" borderId="0" xfId="0" applyFont="1" applyAlignment="1">
      <alignment horizontal="center" vertical="center"/>
    </xf>
    <xf numFmtId="0" fontId="0" fillId="0" borderId="0" xfId="0" applyAlignment="1">
      <alignment vertical="center" wrapText="1"/>
    </xf>
    <xf numFmtId="0" fontId="6" fillId="3" borderId="1" xfId="0" applyFont="1" applyFill="1" applyBorder="1" applyAlignment="1">
      <alignment horizontal="center" vertical="center" wrapText="1"/>
    </xf>
    <xf numFmtId="0" fontId="7" fillId="4" borderId="1" xfId="0" applyFont="1" applyFill="1" applyBorder="1" applyAlignment="1">
      <alignment horizontal="center" vertical="center" wrapText="1"/>
    </xf>
    <xf numFmtId="0" fontId="6" fillId="0" borderId="2" xfId="0" applyNumberFormat="1" applyFont="1" applyFill="1" applyBorder="1" applyAlignment="1">
      <alignment vertical="center" wrapText="1"/>
    </xf>
    <xf numFmtId="0" fontId="4" fillId="0" borderId="1" xfId="0" applyNumberFormat="1" applyFont="1" applyBorder="1" applyAlignment="1">
      <alignment vertical="center" wrapText="1"/>
    </xf>
    <xf numFmtId="0" fontId="4" fillId="0" borderId="1" xfId="0" applyNumberFormat="1" applyFont="1" applyBorder="1">
      <alignment vertical="center"/>
    </xf>
    <xf numFmtId="0" fontId="8" fillId="5" borderId="1" xfId="0" applyFont="1" applyFill="1" applyBorder="1" applyAlignment="1">
      <alignment horizontal="center" vertical="center" wrapText="1"/>
    </xf>
    <xf numFmtId="0" fontId="4" fillId="0" borderId="1" xfId="0" applyNumberFormat="1" applyFont="1" applyFill="1" applyBorder="1" applyAlignment="1">
      <alignment vertical="center" wrapText="1"/>
    </xf>
    <xf numFmtId="0" fontId="7" fillId="4" borderId="5" xfId="0" applyFont="1" applyFill="1" applyBorder="1" applyAlignment="1">
      <alignment horizontal="center" vertical="center" wrapText="1"/>
    </xf>
    <xf numFmtId="0" fontId="7" fillId="6" borderId="5" xfId="0" applyFont="1" applyFill="1" applyBorder="1" applyAlignment="1">
      <alignment horizontal="center" vertical="center" wrapText="1"/>
    </xf>
    <xf numFmtId="0" fontId="7" fillId="6" borderId="6" xfId="0" applyFont="1" applyFill="1" applyBorder="1" applyAlignment="1">
      <alignment horizontal="center" vertical="center" wrapText="1"/>
    </xf>
    <xf numFmtId="0" fontId="8" fillId="7" borderId="2" xfId="0" applyNumberFormat="1" applyFont="1" applyFill="1" applyBorder="1" applyAlignment="1">
      <alignment vertical="center" wrapText="1"/>
    </xf>
    <xf numFmtId="0" fontId="6" fillId="8" borderId="2" xfId="0" applyFont="1" applyFill="1" applyBorder="1" applyAlignment="1">
      <alignment vertical="center" wrapText="1"/>
    </xf>
    <xf numFmtId="0" fontId="1" fillId="0" borderId="7" xfId="0" applyFont="1" applyBorder="1">
      <alignment vertical="center"/>
    </xf>
    <xf numFmtId="0" fontId="4" fillId="0" borderId="0" xfId="0" applyFont="1">
      <alignment vertical="center"/>
    </xf>
    <xf numFmtId="0" fontId="9" fillId="7" borderId="2" xfId="0" applyNumberFormat="1" applyFont="1" applyFill="1" applyBorder="1" applyAlignment="1">
      <alignment vertical="center" wrapText="1"/>
    </xf>
    <xf numFmtId="0" fontId="7" fillId="8" borderId="2" xfId="0" applyFont="1" applyFill="1" applyBorder="1" applyAlignment="1">
      <alignment vertical="center" wrapText="1"/>
    </xf>
    <xf numFmtId="0" fontId="0" fillId="0" borderId="1" xfId="0" applyBorder="1">
      <alignment vertical="center"/>
    </xf>
    <xf numFmtId="0" fontId="7" fillId="6" borderId="7" xfId="0" applyFont="1" applyFill="1" applyBorder="1" applyAlignment="1">
      <alignment horizontal="center" vertical="center" wrapText="1"/>
    </xf>
    <xf numFmtId="0" fontId="1" fillId="0" borderId="0" xfId="0" applyFont="1" applyFill="1">
      <alignment vertical="center"/>
    </xf>
    <xf numFmtId="0" fontId="10" fillId="0" borderId="0" xfId="0" applyFont="1">
      <alignment vertical="center"/>
    </xf>
    <xf numFmtId="0" fontId="1" fillId="0" borderId="0" xfId="0" applyFont="1" applyAlignment="1">
      <alignment horizontal="left" vertical="center"/>
    </xf>
    <xf numFmtId="0" fontId="1" fillId="0" borderId="0" xfId="0" applyFont="1" applyAlignment="1">
      <alignment horizontal="left" vertical="center" wrapText="1"/>
    </xf>
    <xf numFmtId="0" fontId="1" fillId="0" borderId="0" xfId="0" applyFont="1" applyAlignment="1">
      <alignment vertical="center" wrapText="1"/>
    </xf>
    <xf numFmtId="0" fontId="1" fillId="0" borderId="0" xfId="0" applyNumberFormat="1" applyFont="1">
      <alignment vertical="center"/>
    </xf>
    <xf numFmtId="0" fontId="3" fillId="9" borderId="8" xfId="0" applyFont="1" applyFill="1" applyBorder="1" applyAlignment="1">
      <alignment horizontal="left" vertical="center"/>
    </xf>
    <xf numFmtId="0" fontId="3" fillId="9" borderId="1" xfId="0" applyFont="1" applyFill="1" applyBorder="1" applyAlignment="1">
      <alignment horizontal="left" vertical="center" wrapText="1"/>
    </xf>
    <xf numFmtId="0" fontId="3" fillId="9" borderId="0" xfId="0" applyFont="1" applyFill="1" applyAlignment="1">
      <alignment horizontal="left" vertical="center" wrapText="1"/>
    </xf>
    <xf numFmtId="0" fontId="4" fillId="0" borderId="1" xfId="0" applyNumberFormat="1" applyFont="1" applyFill="1" applyBorder="1" applyAlignment="1">
      <alignment horizontal="left" vertical="center" wrapText="1"/>
    </xf>
    <xf numFmtId="0" fontId="11" fillId="0" borderId="1" xfId="41" applyNumberFormat="1" applyFont="1" applyFill="1" applyBorder="1" applyAlignment="1">
      <alignment vertical="center" wrapText="1"/>
    </xf>
    <xf numFmtId="0" fontId="4" fillId="0" borderId="2" xfId="0" applyNumberFormat="1" applyFont="1" applyFill="1" applyBorder="1" applyAlignment="1">
      <alignment horizontal="center" vertical="center" wrapText="1"/>
    </xf>
    <xf numFmtId="0" fontId="4" fillId="0" borderId="3" xfId="0" applyNumberFormat="1" applyFont="1" applyFill="1" applyBorder="1" applyAlignment="1">
      <alignment horizontal="center" vertical="center" wrapText="1"/>
    </xf>
    <xf numFmtId="0" fontId="4" fillId="0" borderId="4" xfId="0" applyNumberFormat="1" applyFont="1" applyFill="1" applyBorder="1" applyAlignment="1">
      <alignment horizontal="center" vertical="center" wrapText="1"/>
    </xf>
    <xf numFmtId="0" fontId="11" fillId="0" borderId="1" xfId="41" applyNumberFormat="1" applyFont="1" applyFill="1" applyBorder="1" applyAlignment="1">
      <alignment horizontal="center" vertical="center" wrapText="1"/>
    </xf>
    <xf numFmtId="0" fontId="4" fillId="0" borderId="1" xfId="0" applyNumberFormat="1" applyFont="1" applyFill="1" applyBorder="1" applyAlignment="1">
      <alignment horizontal="left" vertical="center"/>
    </xf>
    <xf numFmtId="0" fontId="4" fillId="0" borderId="2" xfId="0" applyNumberFormat="1" applyFont="1" applyBorder="1" applyAlignment="1">
      <alignment horizontal="left" vertical="center" wrapText="1"/>
    </xf>
    <xf numFmtId="0" fontId="12" fillId="0" borderId="1" xfId="41" applyNumberFormat="1" applyFont="1" applyBorder="1" applyAlignment="1">
      <alignment horizontal="left" vertical="center" wrapText="1"/>
    </xf>
    <xf numFmtId="0" fontId="4" fillId="0" borderId="3" xfId="0" applyNumberFormat="1" applyFont="1" applyBorder="1" applyAlignment="1">
      <alignment horizontal="left" vertical="center" wrapText="1"/>
    </xf>
    <xf numFmtId="0" fontId="4" fillId="0" borderId="1" xfId="0" applyFont="1" applyFill="1" applyBorder="1" applyProtection="1">
      <alignment vertical="center"/>
      <protection locked="0"/>
    </xf>
    <xf numFmtId="0" fontId="12" fillId="0" borderId="1" xfId="41" applyNumberFormat="1" applyFont="1" applyBorder="1" applyAlignment="1">
      <alignment vertical="center" wrapText="1"/>
    </xf>
    <xf numFmtId="0" fontId="4" fillId="0" borderId="4" xfId="0" applyNumberFormat="1" applyFont="1" applyBorder="1" applyAlignment="1">
      <alignment horizontal="left" vertical="center" wrapText="1"/>
    </xf>
    <xf numFmtId="0" fontId="4" fillId="0" borderId="1" xfId="0" applyNumberFormat="1" applyFont="1" applyBorder="1" applyAlignment="1">
      <alignment horizontal="left" vertical="center" wrapText="1"/>
    </xf>
    <xf numFmtId="0" fontId="4" fillId="0" borderId="2" xfId="0" applyNumberFormat="1" applyFont="1" applyBorder="1" applyAlignment="1">
      <alignment horizontal="center" vertical="center" wrapText="1"/>
    </xf>
    <xf numFmtId="0" fontId="4" fillId="0" borderId="2" xfId="0" applyFont="1" applyFill="1" applyBorder="1" applyAlignment="1" applyProtection="1">
      <alignment horizontal="center" vertical="center"/>
      <protection locked="0"/>
    </xf>
    <xf numFmtId="0" fontId="12" fillId="0" borderId="1" xfId="41" applyNumberFormat="1" applyFont="1" applyBorder="1" applyAlignment="1">
      <alignment horizontal="center" vertical="center" wrapText="1"/>
    </xf>
    <xf numFmtId="0" fontId="4" fillId="0" borderId="4" xfId="0" applyNumberFormat="1" applyFont="1" applyBorder="1" applyAlignment="1">
      <alignment horizontal="center" vertical="center" wrapText="1"/>
    </xf>
    <xf numFmtId="0" fontId="4" fillId="0" borderId="4" xfId="0" applyFont="1" applyFill="1" applyBorder="1" applyAlignment="1" applyProtection="1">
      <alignment horizontal="center" vertical="center"/>
      <protection locked="0"/>
    </xf>
    <xf numFmtId="0" fontId="12" fillId="0" borderId="1" xfId="41" applyFont="1" applyBorder="1" applyAlignment="1">
      <alignment vertical="center" wrapText="1"/>
    </xf>
    <xf numFmtId="0" fontId="13" fillId="0" borderId="1" xfId="0" applyFont="1" applyBorder="1" applyAlignment="1">
      <alignment vertical="center" wrapText="1"/>
    </xf>
    <xf numFmtId="0" fontId="4" fillId="0" borderId="1" xfId="0" applyFont="1" applyFill="1" applyBorder="1" applyAlignment="1">
      <alignment vertical="center" wrapText="1"/>
    </xf>
    <xf numFmtId="0" fontId="4" fillId="0" borderId="1" xfId="0" applyFont="1" applyBorder="1" applyAlignment="1">
      <alignment horizontal="left" vertical="center"/>
    </xf>
    <xf numFmtId="0" fontId="1" fillId="0" borderId="2" xfId="0" applyFont="1" applyBorder="1" applyAlignment="1">
      <alignment horizontal="left" vertical="center"/>
    </xf>
    <xf numFmtId="0" fontId="4" fillId="0" borderId="1" xfId="0" applyNumberFormat="1" applyFont="1" applyBorder="1" applyAlignment="1">
      <alignment horizontal="left" vertical="top" wrapText="1"/>
    </xf>
    <xf numFmtId="0" fontId="3" fillId="9" borderId="8" xfId="0" applyFont="1" applyFill="1" applyBorder="1" applyAlignment="1">
      <alignment horizontal="center" vertical="center"/>
    </xf>
    <xf numFmtId="0" fontId="3" fillId="9" borderId="0" xfId="0" applyFont="1" applyFill="1" applyAlignment="1">
      <alignment horizontal="center" vertical="center" wrapText="1"/>
    </xf>
    <xf numFmtId="0" fontId="4" fillId="0" borderId="1" xfId="0" applyNumberFormat="1" applyFont="1" applyBorder="1" applyAlignment="1">
      <alignment horizontal="center" vertical="center" wrapText="1"/>
    </xf>
    <xf numFmtId="0" fontId="4" fillId="0" borderId="1" xfId="0" applyNumberFormat="1" applyFont="1" applyFill="1" applyBorder="1">
      <alignment vertical="center"/>
    </xf>
    <xf numFmtId="0" fontId="4" fillId="0" borderId="2" xfId="0" applyNumberFormat="1" applyFont="1" applyFill="1" applyBorder="1" applyAlignment="1">
      <alignment horizontal="center" vertical="center"/>
    </xf>
    <xf numFmtId="0" fontId="4" fillId="0" borderId="3" xfId="0" applyNumberFormat="1" applyFont="1" applyBorder="1" applyAlignment="1">
      <alignment horizontal="center" vertical="center" wrapText="1"/>
    </xf>
    <xf numFmtId="0" fontId="4" fillId="0" borderId="3" xfId="0" applyNumberFormat="1" applyFont="1" applyFill="1" applyBorder="1" applyAlignment="1">
      <alignment horizontal="center" vertical="center"/>
    </xf>
    <xf numFmtId="0" fontId="4" fillId="0" borderId="2" xfId="0" applyNumberFormat="1" applyFont="1" applyFill="1" applyBorder="1" applyAlignment="1">
      <alignment horizontal="left" vertical="center"/>
    </xf>
    <xf numFmtId="0" fontId="4" fillId="0" borderId="3" xfId="0" applyNumberFormat="1" applyFont="1" applyFill="1" applyBorder="1" applyAlignment="1">
      <alignment horizontal="left" vertical="center"/>
    </xf>
    <xf numFmtId="0" fontId="4" fillId="0" borderId="7" xfId="0" applyNumberFormat="1" applyFont="1" applyFill="1" applyBorder="1" applyAlignment="1">
      <alignment horizontal="left" vertical="center" wrapText="1"/>
    </xf>
    <xf numFmtId="0" fontId="4" fillId="0" borderId="7" xfId="0" applyNumberFormat="1" applyFont="1" applyBorder="1" applyAlignment="1">
      <alignment horizontal="left" vertical="center" wrapText="1"/>
    </xf>
    <xf numFmtId="0" fontId="4" fillId="0" borderId="1" xfId="0" applyFont="1" applyFill="1" applyBorder="1">
      <alignment vertical="center"/>
    </xf>
    <xf numFmtId="0" fontId="4" fillId="0" borderId="9" xfId="0" applyNumberFormat="1" applyFont="1" applyBorder="1" applyAlignment="1">
      <alignment horizontal="center" vertical="center" wrapText="1"/>
    </xf>
    <xf numFmtId="0" fontId="4" fillId="0" borderId="2" xfId="0" applyFont="1" applyFill="1" applyBorder="1" applyAlignment="1">
      <alignment horizontal="center" vertical="center"/>
    </xf>
    <xf numFmtId="0" fontId="4" fillId="0" borderId="10" xfId="0" applyNumberFormat="1" applyFont="1" applyBorder="1" applyAlignment="1">
      <alignment horizontal="center" vertical="center" wrapText="1"/>
    </xf>
    <xf numFmtId="0" fontId="4" fillId="0" borderId="4" xfId="0" applyFont="1" applyFill="1" applyBorder="1" applyAlignment="1">
      <alignment horizontal="center" vertical="center"/>
    </xf>
    <xf numFmtId="0" fontId="4" fillId="0" borderId="1" xfId="0" applyNumberFormat="1" applyFont="1" applyFill="1" applyBorder="1" applyAlignment="1">
      <alignment horizontal="center" vertical="center" wrapText="1"/>
    </xf>
    <xf numFmtId="0" fontId="1" fillId="0" borderId="1" xfId="0" applyFont="1" applyBorder="1" applyAlignment="1">
      <alignment horizontal="left" vertical="center"/>
    </xf>
    <xf numFmtId="0" fontId="3" fillId="10" borderId="11" xfId="0" applyFont="1" applyFill="1" applyBorder="1" applyAlignment="1">
      <alignment horizontal="center" vertical="center" wrapText="1"/>
    </xf>
    <xf numFmtId="0" fontId="5" fillId="10" borderId="12" xfId="0" applyFont="1" applyFill="1" applyBorder="1" applyAlignment="1">
      <alignment horizontal="center" vertical="center"/>
    </xf>
    <xf numFmtId="0" fontId="5" fillId="10" borderId="12" xfId="0" applyFont="1" applyFill="1" applyBorder="1" applyAlignment="1">
      <alignment horizontal="center" vertical="center" wrapText="1"/>
    </xf>
    <xf numFmtId="0" fontId="3" fillId="10" borderId="7" xfId="0" applyNumberFormat="1" applyFont="1" applyFill="1" applyBorder="1" applyAlignment="1">
      <alignment horizontal="left" vertical="center" wrapText="1"/>
    </xf>
    <xf numFmtId="0" fontId="3" fillId="10" borderId="1" xfId="0" applyFont="1" applyFill="1" applyBorder="1" applyAlignment="1">
      <alignment horizontal="left" vertical="center"/>
    </xf>
    <xf numFmtId="0" fontId="3" fillId="10" borderId="1" xfId="0" applyFont="1" applyFill="1" applyBorder="1" applyAlignment="1">
      <alignment vertical="center" wrapText="1"/>
    </xf>
    <xf numFmtId="0" fontId="1" fillId="0" borderId="1" xfId="0" applyFont="1" applyBorder="1" applyAlignment="1">
      <alignment vertical="center" wrapText="1"/>
    </xf>
    <xf numFmtId="0" fontId="4" fillId="0" borderId="2" xfId="0" applyNumberFormat="1" applyFont="1" applyFill="1" applyBorder="1" applyAlignment="1">
      <alignment horizontal="left" vertical="center" wrapText="1"/>
    </xf>
    <xf numFmtId="0" fontId="4" fillId="0" borderId="4" xfId="0" applyNumberFormat="1" applyFont="1" applyFill="1" applyBorder="1" applyAlignment="1">
      <alignment horizontal="left" vertical="center" wrapText="1"/>
    </xf>
    <xf numFmtId="0" fontId="1" fillId="0" borderId="1" xfId="0" applyNumberFormat="1" applyFont="1" applyBorder="1">
      <alignment vertical="center"/>
    </xf>
    <xf numFmtId="0" fontId="1" fillId="0" borderId="4" xfId="0" applyFont="1" applyBorder="1" applyAlignment="1">
      <alignment horizontal="left" vertical="center"/>
    </xf>
    <xf numFmtId="0" fontId="4" fillId="0" borderId="4" xfId="0" applyNumberFormat="1" applyFont="1" applyFill="1" applyBorder="1" applyAlignment="1">
      <alignment horizontal="center" vertical="center"/>
    </xf>
    <xf numFmtId="0" fontId="1" fillId="0" borderId="1" xfId="0" applyFont="1" applyBorder="1" applyAlignment="1">
      <alignment horizontal="left" vertical="center" wrapText="1"/>
    </xf>
    <xf numFmtId="0" fontId="1" fillId="0" borderId="2" xfId="0" applyNumberFormat="1" applyFont="1" applyBorder="1">
      <alignment vertical="center"/>
    </xf>
    <xf numFmtId="0" fontId="1" fillId="0" borderId="1" xfId="0" applyFont="1" applyFill="1" applyBorder="1" applyAlignment="1">
      <alignment vertical="center" wrapText="1"/>
    </xf>
    <xf numFmtId="0" fontId="4" fillId="0" borderId="1" xfId="0" applyFont="1" applyFill="1" applyBorder="1" applyAlignment="1">
      <alignment horizontal="left" vertical="center"/>
    </xf>
    <xf numFmtId="0" fontId="1" fillId="0" borderId="1" xfId="0" applyNumberFormat="1" applyFont="1" applyBorder="1" applyAlignment="1">
      <alignment horizontal="left" vertical="center" wrapText="1"/>
    </xf>
    <xf numFmtId="0" fontId="3" fillId="10" borderId="7" xfId="0" applyNumberFormat="1" applyFont="1" applyFill="1" applyBorder="1">
      <alignment vertical="center"/>
    </xf>
    <xf numFmtId="0" fontId="3" fillId="10" borderId="1" xfId="0" applyFont="1" applyFill="1" applyBorder="1" applyAlignment="1">
      <alignment horizontal="center" vertical="center" wrapText="1"/>
    </xf>
    <xf numFmtId="0" fontId="4" fillId="11" borderId="1" xfId="0" applyNumberFormat="1" applyFont="1" applyFill="1" applyBorder="1" applyAlignment="1">
      <alignment vertical="center" wrapText="1"/>
    </xf>
    <xf numFmtId="0" fontId="4" fillId="11" borderId="1" xfId="0" applyNumberFormat="1" applyFont="1" applyFill="1" applyBorder="1">
      <alignment vertical="center"/>
    </xf>
    <xf numFmtId="0" fontId="3" fillId="10" borderId="1" xfId="0" applyFont="1" applyFill="1" applyBorder="1">
      <alignment vertical="center"/>
    </xf>
    <xf numFmtId="0" fontId="3" fillId="10" borderId="1" xfId="0" applyNumberFormat="1" applyFont="1" applyFill="1" applyBorder="1">
      <alignment vertical="center"/>
    </xf>
    <xf numFmtId="0" fontId="12" fillId="0" borderId="1" xfId="41" applyFont="1" applyBorder="1" applyAlignment="1">
      <alignment horizontal="left" vertical="center" wrapText="1"/>
    </xf>
    <xf numFmtId="0" fontId="14" fillId="0" borderId="1" xfId="0" applyFont="1" applyBorder="1" applyAlignment="1">
      <alignment horizontal="center" vertical="center"/>
    </xf>
    <xf numFmtId="0" fontId="4" fillId="0" borderId="1" xfId="0" applyNumberFormat="1" applyFont="1" applyBorder="1" applyAlignment="1">
      <alignment horizontal="left" vertical="center"/>
    </xf>
    <xf numFmtId="0" fontId="12" fillId="0" borderId="1" xfId="41" applyFont="1" applyBorder="1" applyAlignment="1">
      <alignment horizontal="center" vertical="center" wrapText="1"/>
    </xf>
    <xf numFmtId="0" fontId="15" fillId="0" borderId="0" xfId="41" applyFont="1" applyAlignment="1">
      <alignment vertical="center" wrapText="1"/>
    </xf>
    <xf numFmtId="0" fontId="12" fillId="0" borderId="1" xfId="41" applyFont="1" applyFill="1" applyBorder="1" applyAlignment="1">
      <alignment vertical="center" wrapText="1"/>
    </xf>
    <xf numFmtId="0" fontId="5" fillId="10" borderId="13" xfId="0" applyFont="1" applyFill="1" applyBorder="1" applyAlignment="1">
      <alignment horizontal="center" vertical="center"/>
    </xf>
    <xf numFmtId="0" fontId="3" fillId="3" borderId="14" xfId="0" applyFont="1" applyFill="1" applyBorder="1" applyAlignment="1">
      <alignment horizontal="center" vertical="center"/>
    </xf>
    <xf numFmtId="0" fontId="3" fillId="3" borderId="11" xfId="0" applyFont="1" applyFill="1" applyBorder="1" applyAlignment="1">
      <alignment horizontal="center" vertical="center"/>
    </xf>
    <xf numFmtId="0" fontId="3" fillId="3" borderId="12" xfId="0" applyFont="1" applyFill="1" applyBorder="1" applyAlignment="1">
      <alignment horizontal="center" vertical="center"/>
    </xf>
    <xf numFmtId="0" fontId="3" fillId="10" borderId="5" xfId="0" applyFont="1" applyFill="1" applyBorder="1" applyAlignment="1">
      <alignment horizontal="left" vertical="center"/>
    </xf>
    <xf numFmtId="0" fontId="3" fillId="3" borderId="1" xfId="0" applyFont="1" applyFill="1" applyBorder="1">
      <alignment vertical="center"/>
    </xf>
    <xf numFmtId="58" fontId="16" fillId="0" borderId="1" xfId="0" applyNumberFormat="1" applyFont="1" applyBorder="1">
      <alignment vertical="center"/>
    </xf>
    <xf numFmtId="0" fontId="16" fillId="0" borderId="1" xfId="0" applyFont="1" applyBorder="1">
      <alignment vertical="center"/>
    </xf>
    <xf numFmtId="0" fontId="4" fillId="0" borderId="2" xfId="0" applyFont="1" applyBorder="1" applyAlignment="1">
      <alignment horizontal="left" vertical="center"/>
    </xf>
    <xf numFmtId="0" fontId="17" fillId="0" borderId="1" xfId="41" applyFont="1" applyBorder="1">
      <alignment vertical="center"/>
    </xf>
    <xf numFmtId="0" fontId="17" fillId="0" borderId="1" xfId="41" applyFont="1" applyBorder="1" applyAlignment="1">
      <alignment vertical="center" wrapText="1"/>
    </xf>
    <xf numFmtId="0" fontId="18" fillId="0" borderId="1" xfId="0" applyFont="1" applyBorder="1">
      <alignment vertical="center"/>
    </xf>
    <xf numFmtId="0" fontId="10" fillId="0" borderId="1" xfId="0" applyFont="1" applyBorder="1">
      <alignment vertical="center"/>
    </xf>
    <xf numFmtId="0" fontId="18" fillId="0" borderId="1" xfId="0" applyFont="1" applyBorder="1" applyAlignment="1">
      <alignment vertical="center" wrapText="1"/>
    </xf>
    <xf numFmtId="0" fontId="4" fillId="0" borderId="2" xfId="0" applyFont="1" applyBorder="1" applyAlignment="1">
      <alignment vertical="center" wrapText="1"/>
    </xf>
    <xf numFmtId="0" fontId="4" fillId="0" borderId="2" xfId="0" applyNumberFormat="1" applyFont="1" applyBorder="1" applyAlignment="1">
      <alignment horizontal="left" vertical="center"/>
    </xf>
    <xf numFmtId="0" fontId="4" fillId="0" borderId="4" xfId="0" applyNumberFormat="1" applyFont="1" applyBorder="1" applyAlignment="1">
      <alignment horizontal="left" vertical="center"/>
    </xf>
    <xf numFmtId="0" fontId="4" fillId="0" borderId="4" xfId="0" applyFont="1" applyBorder="1" applyAlignment="1">
      <alignment horizontal="left" vertical="center"/>
    </xf>
    <xf numFmtId="0" fontId="18" fillId="0" borderId="1" xfId="0" applyFont="1" applyBorder="1" applyAlignment="1">
      <alignment horizontal="left" vertical="center"/>
    </xf>
    <xf numFmtId="0" fontId="1" fillId="0" borderId="2" xfId="0" applyFont="1" applyBorder="1">
      <alignment vertical="center"/>
    </xf>
    <xf numFmtId="0" fontId="4" fillId="12" borderId="1" xfId="0" applyNumberFormat="1" applyFont="1" applyFill="1" applyBorder="1" applyAlignment="1">
      <alignment horizontal="left" vertical="center" wrapText="1"/>
    </xf>
    <xf numFmtId="0" fontId="1" fillId="0" borderId="2" xfId="0" applyNumberFormat="1" applyFont="1" applyBorder="1" applyAlignment="1">
      <alignment horizontal="left" vertical="center" wrapText="1"/>
    </xf>
    <xf numFmtId="0" fontId="1" fillId="0" borderId="2" xfId="0" applyNumberFormat="1" applyFont="1" applyBorder="1" applyAlignment="1">
      <alignment vertical="center" wrapText="1"/>
    </xf>
    <xf numFmtId="0" fontId="1" fillId="0" borderId="1" xfId="0" applyNumberFormat="1" applyFont="1" applyBorder="1" applyAlignment="1">
      <alignment vertical="center" wrapText="1"/>
    </xf>
    <xf numFmtId="0" fontId="18" fillId="0" borderId="1" xfId="0" applyFont="1" applyBorder="1" applyAlignment="1">
      <alignment horizontal="left" vertical="center" wrapText="1"/>
    </xf>
    <xf numFmtId="0" fontId="10" fillId="0" borderId="1" xfId="0" applyNumberFormat="1" applyFont="1" applyBorder="1" applyAlignment="1">
      <alignment vertical="center" wrapText="1"/>
    </xf>
    <xf numFmtId="0" fontId="10" fillId="0" borderId="1" xfId="0" applyFont="1" applyBorder="1" applyAlignment="1">
      <alignment horizontal="left" vertical="center"/>
    </xf>
    <xf numFmtId="0" fontId="4" fillId="0" borderId="2" xfId="0" applyFont="1" applyBorder="1">
      <alignment vertical="center"/>
    </xf>
    <xf numFmtId="0" fontId="4" fillId="12" borderId="1" xfId="0" applyNumberFormat="1" applyFont="1" applyFill="1" applyBorder="1" applyAlignment="1">
      <alignment vertical="center" wrapText="1"/>
    </xf>
    <xf numFmtId="0" fontId="18" fillId="12" borderId="1" xfId="0" applyNumberFormat="1" applyFont="1" applyFill="1" applyBorder="1" applyAlignment="1">
      <alignment vertical="center" wrapText="1"/>
    </xf>
    <xf numFmtId="0" fontId="15" fillId="0" borderId="1" xfId="41" applyFont="1" applyBorder="1" applyAlignment="1">
      <alignment vertical="center" wrapText="1"/>
    </xf>
    <xf numFmtId="0" fontId="14" fillId="0" borderId="4" xfId="0" applyFont="1" applyBorder="1" applyAlignment="1">
      <alignment horizontal="center" vertical="center"/>
    </xf>
    <xf numFmtId="0" fontId="19" fillId="0" borderId="1" xfId="41" applyFont="1" applyBorder="1" applyAlignment="1">
      <alignment vertical="center" wrapText="1"/>
    </xf>
    <xf numFmtId="0" fontId="18" fillId="0" borderId="1" xfId="0" applyNumberFormat="1" applyFont="1" applyBorder="1">
      <alignment vertical="center"/>
    </xf>
    <xf numFmtId="0" fontId="12" fillId="0" borderId="2" xfId="41" applyFont="1" applyBorder="1" applyAlignment="1">
      <alignment vertical="center" wrapText="1"/>
    </xf>
    <xf numFmtId="0" fontId="4" fillId="0" borderId="2" xfId="0" applyNumberFormat="1" applyFont="1" applyBorder="1">
      <alignment vertical="center"/>
    </xf>
    <xf numFmtId="0" fontId="20" fillId="0" borderId="1" xfId="0" applyFont="1" applyBorder="1">
      <alignment vertical="center"/>
    </xf>
    <xf numFmtId="0" fontId="10" fillId="0" borderId="1" xfId="0" applyFont="1" applyBorder="1" applyAlignment="1">
      <alignment vertical="center" wrapText="1"/>
    </xf>
    <xf numFmtId="0" fontId="1" fillId="0" borderId="2" xfId="0" applyFont="1" applyBorder="1" applyAlignment="1">
      <alignment vertical="center" wrapText="1"/>
    </xf>
    <xf numFmtId="0" fontId="16" fillId="0" borderId="0" xfId="0" applyFont="1">
      <alignment vertical="center"/>
    </xf>
    <xf numFmtId="0" fontId="4" fillId="0" borderId="7" xfId="0" applyFont="1" applyBorder="1">
      <alignment vertical="center"/>
    </xf>
    <xf numFmtId="0" fontId="16" fillId="0" borderId="2" xfId="0" applyFont="1" applyBorder="1">
      <alignment vertical="center"/>
    </xf>
    <xf numFmtId="0" fontId="4" fillId="0" borderId="0" xfId="0" applyFont="1" applyAlignment="1">
      <alignment vertical="center" wrapText="1"/>
    </xf>
    <xf numFmtId="0" fontId="1" fillId="13" borderId="0" xfId="0" applyFont="1" applyFill="1">
      <alignment vertical="center"/>
    </xf>
    <xf numFmtId="0" fontId="0" fillId="0" borderId="0" xfId="0" applyFont="1">
      <alignment vertical="center"/>
    </xf>
    <xf numFmtId="0" fontId="3" fillId="14" borderId="4" xfId="0" applyNumberFormat="1" applyFont="1" applyFill="1" applyBorder="1" applyAlignment="1">
      <alignment vertical="center" wrapText="1"/>
    </xf>
    <xf numFmtId="0" fontId="4" fillId="0" borderId="5" xfId="0" applyNumberFormat="1" applyFont="1" applyBorder="1" applyAlignment="1">
      <alignment vertical="center" wrapText="1"/>
    </xf>
    <xf numFmtId="0" fontId="21" fillId="0" borderId="1" xfId="0" applyFont="1" applyBorder="1" applyAlignment="1">
      <alignment vertical="center" wrapText="1"/>
    </xf>
    <xf numFmtId="0" fontId="22" fillId="0" borderId="1" xfId="41" applyNumberFormat="1" applyFont="1" applyFill="1" applyBorder="1" applyAlignment="1">
      <alignment vertical="center" wrapText="1"/>
    </xf>
    <xf numFmtId="0" fontId="14" fillId="13" borderId="0" xfId="0" applyFont="1" applyFill="1" applyAlignment="1">
      <alignment vertical="center"/>
    </xf>
    <xf numFmtId="0" fontId="1" fillId="13" borderId="0" xfId="0" applyFont="1" applyFill="1" applyAlignment="1">
      <alignment vertical="center"/>
    </xf>
    <xf numFmtId="0" fontId="4" fillId="0" borderId="9" xfId="0" applyNumberFormat="1" applyFont="1" applyBorder="1" applyAlignment="1">
      <alignment horizontal="left" vertical="center" wrapText="1"/>
    </xf>
    <xf numFmtId="0" fontId="3" fillId="14" borderId="4" xfId="0" applyNumberFormat="1" applyFont="1" applyFill="1" applyBorder="1" applyAlignment="1">
      <alignment horizontal="left" vertical="center" wrapText="1"/>
    </xf>
    <xf numFmtId="0" fontId="3" fillId="14" borderId="4" xfId="0" applyNumberFormat="1" applyFont="1" applyFill="1" applyBorder="1" applyAlignment="1">
      <alignment horizontal="center" vertical="center" wrapText="1"/>
    </xf>
    <xf numFmtId="0" fontId="4" fillId="0" borderId="7" xfId="0" applyNumberFormat="1" applyFont="1" applyBorder="1" applyAlignment="1">
      <alignment horizontal="center" vertical="center" wrapText="1"/>
    </xf>
    <xf numFmtId="0" fontId="4" fillId="0" borderId="5" xfId="0" applyFont="1" applyBorder="1">
      <alignment vertical="center"/>
    </xf>
    <xf numFmtId="0" fontId="1" fillId="13" borderId="0" xfId="0" applyFont="1" applyFill="1" applyAlignment="1">
      <alignment horizontal="center" vertical="center"/>
    </xf>
    <xf numFmtId="0" fontId="3" fillId="15" borderId="4" xfId="0" applyNumberFormat="1" applyFont="1" applyFill="1" applyBorder="1" applyAlignment="1">
      <alignment vertical="center" wrapText="1"/>
    </xf>
    <xf numFmtId="0" fontId="3" fillId="15" borderId="4" xfId="0" applyNumberFormat="1" applyFont="1" applyFill="1" applyBorder="1" applyAlignment="1">
      <alignment horizontal="center" vertical="center" wrapText="1"/>
    </xf>
    <xf numFmtId="0" fontId="23" fillId="0" borderId="1" xfId="0" applyFont="1" applyBorder="1">
      <alignment vertical="center"/>
    </xf>
    <xf numFmtId="0" fontId="1" fillId="13" borderId="0" xfId="0" applyFont="1" applyFill="1" applyAlignment="1">
      <alignment horizontal="left" vertical="center"/>
    </xf>
    <xf numFmtId="0" fontId="1" fillId="13" borderId="0" xfId="0" applyFont="1" applyFill="1" applyAlignment="1">
      <alignment vertical="center" wrapText="1"/>
    </xf>
    <xf numFmtId="0" fontId="3" fillId="15" borderId="1" xfId="0" applyNumberFormat="1" applyFont="1" applyFill="1" applyBorder="1" applyAlignment="1">
      <alignment horizontal="center" vertical="center" wrapText="1"/>
    </xf>
    <xf numFmtId="0" fontId="4" fillId="0" borderId="2" xfId="0" applyFont="1" applyFill="1" applyBorder="1" applyAlignment="1">
      <alignment horizontal="left" vertical="center"/>
    </xf>
    <xf numFmtId="0" fontId="23" fillId="0" borderId="1" xfId="0" applyFont="1" applyBorder="1" applyAlignment="1">
      <alignment vertical="center" wrapText="1"/>
    </xf>
    <xf numFmtId="0" fontId="23" fillId="0" borderId="2" xfId="0" applyFont="1" applyFill="1" applyBorder="1">
      <alignment vertical="center"/>
    </xf>
    <xf numFmtId="0" fontId="4" fillId="0" borderId="2" xfId="0" applyFont="1" applyFill="1" applyBorder="1">
      <alignment vertical="center"/>
    </xf>
    <xf numFmtId="0" fontId="4" fillId="0" borderId="2" xfId="0" applyFont="1" applyFill="1" applyBorder="1" applyAlignment="1">
      <alignment horizontal="left" vertical="center" wrapText="1"/>
    </xf>
    <xf numFmtId="0" fontId="18" fillId="0" borderId="1" xfId="0" applyFont="1" applyBorder="1" applyAlignment="1">
      <alignment horizontal="center" vertical="center"/>
    </xf>
  </cellXfs>
  <cellStyles count="49">
    <cellStyle name="常规" xfId="0" builtinId="0"/>
    <cellStyle name="60% - 强调文字颜色 6" xfId="1" builtinId="52"/>
    <cellStyle name="20% - 强调文字颜色 4" xfId="2" builtinId="42"/>
    <cellStyle name="强调文字颜色 4" xfId="3" builtinId="41"/>
    <cellStyle name="输入" xfId="4" builtinId="20"/>
    <cellStyle name="40% - 强调文字颜色 3" xfId="5" builtinId="39"/>
    <cellStyle name="20% - 强调文字颜色 3" xfId="6" builtinId="38"/>
    <cellStyle name="货币" xfId="7" builtinId="4"/>
    <cellStyle name="强调文字颜色 3" xfId="8" builtinId="37"/>
    <cellStyle name="百分比" xfId="9" builtinId="5"/>
    <cellStyle name="60% - 强调文字颜色 2" xfId="10" builtinId="36"/>
    <cellStyle name="60% - 强调文字颜色 5" xfId="11" builtinId="48"/>
    <cellStyle name="强调文字颜色 2" xfId="12" builtinId="33"/>
    <cellStyle name="60% - 强调文字颜色 1" xfId="13" builtinId="32"/>
    <cellStyle name="60% - 强调文字颜色 4" xfId="14" builtinId="44"/>
    <cellStyle name="计算" xfId="15" builtinId="22"/>
    <cellStyle name="强调文字颜色 1" xfId="16" builtinId="29"/>
    <cellStyle name="适中" xfId="17" builtinId="28"/>
    <cellStyle name="20% - 强调文字颜色 5" xfId="18" builtinId="46"/>
    <cellStyle name="好" xfId="19" builtinId="26"/>
    <cellStyle name="20% - 强调文字颜色 1" xfId="20" builtinId="30"/>
    <cellStyle name="汇总" xfId="21" builtinId="25"/>
    <cellStyle name="差" xfId="22" builtinId="27"/>
    <cellStyle name="检查单元格" xfId="23" builtinId="23"/>
    <cellStyle name="输出" xfId="24" builtinId="21"/>
    <cellStyle name="标题 1" xfId="25" builtinId="16"/>
    <cellStyle name="解释性文本" xfId="26" builtinId="53"/>
    <cellStyle name="20% - 强调文字颜色 2" xfId="27" builtinId="34"/>
    <cellStyle name="标题 4" xfId="28" builtinId="19"/>
    <cellStyle name="货币[0]" xfId="29" builtinId="7"/>
    <cellStyle name="40% - 强调文字颜色 4" xfId="30" builtinId="43"/>
    <cellStyle name="千位分隔" xfId="31" builtinId="3"/>
    <cellStyle name="已访问的超链接" xfId="32" builtinId="9"/>
    <cellStyle name="标题" xfId="33" builtinId="15"/>
    <cellStyle name="40% - 强调文字颜色 2" xfId="34" builtinId="35"/>
    <cellStyle name="警告文本" xfId="35" builtinId="11"/>
    <cellStyle name="60% - 强调文字颜色 3" xfId="36" builtinId="40"/>
    <cellStyle name="注释" xfId="37" builtinId="10"/>
    <cellStyle name="20% - 强调文字颜色 6" xfId="38" builtinId="50"/>
    <cellStyle name="强调文字颜色 5" xfId="39" builtinId="45"/>
    <cellStyle name="40% - 强调文字颜色 6" xfId="40" builtinId="51"/>
    <cellStyle name="超链接" xfId="41" builtinId="8"/>
    <cellStyle name="千位分隔[0]" xfId="42" builtinId="6"/>
    <cellStyle name="标题 2" xfId="43" builtinId="17"/>
    <cellStyle name="40% - 强调文字颜色 5" xfId="44" builtinId="47"/>
    <cellStyle name="标题 3" xfId="45" builtinId="18"/>
    <cellStyle name="强调文字颜色 6" xfId="46" builtinId="49"/>
    <cellStyle name="40% - 强调文字颜色 1" xfId="47" builtinId="31"/>
    <cellStyle name="链接单元格" xfId="48" builtinId="24"/>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woinfos.xml><?xml version="1.0" encoding="utf-8"?>
<woInfos xmlns="https://web.wps.cn/et/2018/main" xmlns:s="http://schemas.openxmlformats.org/spreadsheetml/2006/main">
  <bookInfo cellCmpFml="4">
    <open main="91" threadCnt="1"/>
    <sheetInfos>
      <sheetInfo cellCmpFml="0" sheetStid="1">
        <open main="3" threadCnt="1"/>
      </sheetInfo>
      <sheetInfo cellCmpFml="0" sheetStid="3">
        <open main="3" threadCnt="1"/>
      </sheetInfo>
      <sheetInfo cellCmpFml="0" sheetStid="4">
        <open threadCnt="1"/>
      </sheetInfo>
      <sheetInfo cellCmpFml="4" sheetStid="6">
        <open main="1" threadCnt="1"/>
      </sheetInfo>
    </sheetInfos>
  </bookInfo>
</woInfos>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www.wps.cn/officeDocument/2023/relationships/woinfos" Target="woinfos.xml"/><Relationship Id="rId13" Type="http://schemas.openxmlformats.org/officeDocument/2006/relationships/styles" Target="styles.xml"/><Relationship Id="rId12" Type="http://schemas.openxmlformats.org/officeDocument/2006/relationships/customXml" Target="../customXml/item5.xml"/><Relationship Id="rId11" Type="http://schemas.openxmlformats.org/officeDocument/2006/relationships/customXml" Target="../customXml/item4.xml"/><Relationship Id="rId10" Type="http://schemas.openxmlformats.org/officeDocument/2006/relationships/customXml" Target="../customXml/item3.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jira.htzq.htsc.com.cn/browse/FICCHEADS-983" TargetMode="External"/><Relationship Id="rId8" Type="http://schemas.openxmlformats.org/officeDocument/2006/relationships/hyperlink" Target="http://jira.htzq.htsc.com.cn/browse/FICCHEADS-812" TargetMode="External"/><Relationship Id="rId7" Type="http://schemas.openxmlformats.org/officeDocument/2006/relationships/hyperlink" Target="http://jira.htzq.htsc.com.cn/browse/FICCHEADS-1127" TargetMode="External"/><Relationship Id="rId6" Type="http://schemas.openxmlformats.org/officeDocument/2006/relationships/hyperlink" Target="http://jira.htzq.htsc.com.cn/browse/FICCHEADS-873" TargetMode="External"/><Relationship Id="rId5" Type="http://schemas.openxmlformats.org/officeDocument/2006/relationships/hyperlink" Target="http://jira.htzq.htsc.com.cn/browse/FICCHEADS-1124" TargetMode="External"/><Relationship Id="rId4" Type="http://schemas.openxmlformats.org/officeDocument/2006/relationships/hyperlink" Target="http://jira.htzq.htsc.com.cn/browse/FICCHEADS-1136" TargetMode="External"/><Relationship Id="rId3" Type="http://schemas.openxmlformats.org/officeDocument/2006/relationships/hyperlink" Target="http://jira.htzq.htsc.com.cn/browse/FICCHEADS-1097" TargetMode="External"/><Relationship Id="rId26" Type="http://schemas.openxmlformats.org/officeDocument/2006/relationships/hyperlink" Target="http://eip.htsc.com.cn/htoa/spa/workflow/static4form/index.html?_rdm=1768790739845#/main/workflow/req?requestid=7411633&amp;_workflowid=12522&amp;f_weaver_belongto_userid=70216&amp;isovertime=0&amp;preloadkey=1768790714101&amp;timestamp=1768790714101&amp;_key=7na5qv" TargetMode="External"/><Relationship Id="rId25" Type="http://schemas.openxmlformats.org/officeDocument/2006/relationships/hyperlink" Target="http://jira.htzq.htsc.com.cn/browse/FICCHEADS-1203" TargetMode="External"/><Relationship Id="rId24" Type="http://schemas.openxmlformats.org/officeDocument/2006/relationships/hyperlink" Target="http://jira.htzq.htsc.com.cn/browse/FICCHEADS-1200" TargetMode="External"/><Relationship Id="rId23" Type="http://schemas.openxmlformats.org/officeDocument/2006/relationships/hyperlink" Target="http://jira.htzq.htsc.com.cn/browse/FICCHEADS-1202" TargetMode="External"/><Relationship Id="rId22" Type="http://schemas.openxmlformats.org/officeDocument/2006/relationships/hyperlink" Target="http://jira.htzq.htsc.com.cn/browse/FICCHEADS-1177" TargetMode="External"/><Relationship Id="rId21" Type="http://schemas.openxmlformats.org/officeDocument/2006/relationships/hyperlink" Target="http://jira.htzq.htsc.com.cn/browse/FICCHEADS-1188" TargetMode="External"/><Relationship Id="rId20" Type="http://schemas.openxmlformats.org/officeDocument/2006/relationships/hyperlink" Target="http://jira.htzq.htsc.com.cn/browse/FICCHEADS-1192" TargetMode="External"/><Relationship Id="rId2" Type="http://schemas.openxmlformats.org/officeDocument/2006/relationships/hyperlink" Target="http://jira.htzq.htsc.com.cn/browse/FICCHEADS-1167" TargetMode="External"/><Relationship Id="rId19" Type="http://schemas.openxmlformats.org/officeDocument/2006/relationships/hyperlink" Target="http://jira.htzq.htsc.com.cn/browse/FICCHEADS-1175" TargetMode="External"/><Relationship Id="rId18" Type="http://schemas.openxmlformats.org/officeDocument/2006/relationships/hyperlink" Target="http://jira.htzq.htsc.com.cn/browse/FICCHEADS-1197" TargetMode="External"/><Relationship Id="rId17" Type="http://schemas.openxmlformats.org/officeDocument/2006/relationships/hyperlink" Target="http://eip.htsc.com.cn/htoa/spa/workflow/static4form/index.html?_rdm=1766557045845" TargetMode="External"/><Relationship Id="rId16" Type="http://schemas.openxmlformats.org/officeDocument/2006/relationships/hyperlink" Target="http://eip.htsc.com.cn/htoa/spa/workflow/static4form/index.html?_rdm=1766545873966#/main/workflow/req?requestid=7188583&amp;_workflowid=12522&amp;f_weaver_belongto_userid=43671&amp;isovertime=0&amp;preloadkey=1766545820215&amp;timestamp=1766545820215&amp;_key=bwwpg8" TargetMode="External"/><Relationship Id="rId15" Type="http://schemas.openxmlformats.org/officeDocument/2006/relationships/hyperlink" Target="http://jira.htzq.htsc.com.cn/browse/FICCHEADS-955" TargetMode="External"/><Relationship Id="rId14" Type="http://schemas.openxmlformats.org/officeDocument/2006/relationships/hyperlink" Target="http://jira.htzq.htsc.com.cn/browse/FICCHEADS-1149" TargetMode="External"/><Relationship Id="rId13" Type="http://schemas.openxmlformats.org/officeDocument/2006/relationships/hyperlink" Target="http://jira.htzq.htsc.com.cn/browse/FICCHEADS-1194" TargetMode="External"/><Relationship Id="rId12" Type="http://schemas.openxmlformats.org/officeDocument/2006/relationships/hyperlink" Target="http://jira.htzq.htsc.com.cn/browse/FICCHEADS-1189" TargetMode="External"/><Relationship Id="rId11" Type="http://schemas.openxmlformats.org/officeDocument/2006/relationships/hyperlink" Target="http://jira.htzq.htsc.com.cn/browse/FICCHEADS-1140" TargetMode="External"/><Relationship Id="rId10" Type="http://schemas.openxmlformats.org/officeDocument/2006/relationships/hyperlink" Target="http://jira.htzq.htsc.com.cn/browse/FICCHEADS-1110" TargetMode="External"/><Relationship Id="rId1" Type="http://schemas.openxmlformats.org/officeDocument/2006/relationships/hyperlink" Target="http://jira.htzq.htsc.com.cn/browse/FICCHEADS-1180" TargetMode="External"/></Relationships>
</file>

<file path=xl/worksheets/_rels/sheet2.xml.rels><?xml version="1.0" encoding="UTF-8" standalone="yes"?>
<Relationships xmlns="http://schemas.openxmlformats.org/package/2006/relationships"><Relationship Id="rId9" Type="http://schemas.openxmlformats.org/officeDocument/2006/relationships/hyperlink" Target="http://jira.htzq.htsc.com.cn/browse/FICCHEADS-1110" TargetMode="External"/><Relationship Id="rId8" Type="http://schemas.openxmlformats.org/officeDocument/2006/relationships/hyperlink" Target="http://jira.htzq.htsc.com.cn/browse/FICCHEADS-812" TargetMode="External"/><Relationship Id="rId7" Type="http://schemas.openxmlformats.org/officeDocument/2006/relationships/hyperlink" Target="http://jira.htzq.htsc.com.cn/browse/FICCHEADS-1127" TargetMode="External"/><Relationship Id="rId6" Type="http://schemas.openxmlformats.org/officeDocument/2006/relationships/hyperlink" Target="http://jira.htzq.htsc.com.cn/browse/FICCHEADS-873" TargetMode="External"/><Relationship Id="rId56" Type="http://schemas.openxmlformats.org/officeDocument/2006/relationships/hyperlink" Target="http://wiki.htzq.htsc.com.cn/pages/viewpage.action?pageId=463084706" TargetMode="External"/><Relationship Id="rId55" Type="http://schemas.openxmlformats.org/officeDocument/2006/relationships/hyperlink" Target="http://wiki.htzq.htsc.com.cn/pages/viewpage.action?pageId=461981867" TargetMode="External"/><Relationship Id="rId54" Type="http://schemas.openxmlformats.org/officeDocument/2006/relationships/hyperlink" Target="http://wiki.htzq.htsc.com.cn/x/5DYeGg" TargetMode="External"/><Relationship Id="rId53" Type="http://schemas.openxmlformats.org/officeDocument/2006/relationships/hyperlink" Target="http://wiki.htzq.htsc.com.cn/pages/viewpage.action?pageId=460850071" TargetMode="External"/><Relationship Id="rId52" Type="http://schemas.openxmlformats.org/officeDocument/2006/relationships/hyperlink" Target="http://wiki.htzq.htsc.com.cn/pages/viewpage.action?pageId=432902954" TargetMode="External"/><Relationship Id="rId51" Type="http://schemas.openxmlformats.org/officeDocument/2006/relationships/hyperlink" Target="http://wiki.htzq.htsc.com.cn/pages/viewpage.action?pageId=454094839" TargetMode="External"/><Relationship Id="rId50" Type="http://schemas.openxmlformats.org/officeDocument/2006/relationships/hyperlink" Target="http://wiki.htzq.htsc.com.cn/pages/viewpage.action?pageId=454734722" TargetMode="External"/><Relationship Id="rId5" Type="http://schemas.openxmlformats.org/officeDocument/2006/relationships/hyperlink" Target="http://jira.htzq.htsc.com.cn/browse/FICCHEADS-1124" TargetMode="External"/><Relationship Id="rId49" Type="http://schemas.openxmlformats.org/officeDocument/2006/relationships/hyperlink" Target="http://wiki.htzq.htsc.com.cn/pages/viewpage.action?pageId=437466519" TargetMode="External"/><Relationship Id="rId48" Type="http://schemas.openxmlformats.org/officeDocument/2006/relationships/hyperlink" Target="http://wiki.htzq.htsc.com.cn/pages/viewpage.action?pageId=455313229" TargetMode="External"/><Relationship Id="rId47" Type="http://schemas.openxmlformats.org/officeDocument/2006/relationships/hyperlink" Target="http://wiki.htzq.htsc.com.cn/pages/viewpage.action?pageId=450101163" TargetMode="External"/><Relationship Id="rId46" Type="http://schemas.openxmlformats.org/officeDocument/2006/relationships/hyperlink" Target="http://wiki.htzq.htsc.com.cn/x/VaQaGw" TargetMode="External"/><Relationship Id="rId45" Type="http://schemas.openxmlformats.org/officeDocument/2006/relationships/hyperlink" Target="http://wiki.htzq.htsc.com.cn/pages/viewpage.action?pageId=364103809" TargetMode="External"/><Relationship Id="rId44" Type="http://schemas.openxmlformats.org/officeDocument/2006/relationships/hyperlink" Target="http://wiki.htzq.htsc.com.cn/x/raAaGw" TargetMode="External"/><Relationship Id="rId43" Type="http://schemas.openxmlformats.org/officeDocument/2006/relationships/hyperlink" Target="http://wiki.htzq.htsc.com.cn/x/3neEGg" TargetMode="External"/><Relationship Id="rId42" Type="http://schemas.openxmlformats.org/officeDocument/2006/relationships/hyperlink" Target="http://wiki.htzq.htsc.com.cn/pages/viewpage.action?pageId=456684292" TargetMode="External"/><Relationship Id="rId41" Type="http://schemas.openxmlformats.org/officeDocument/2006/relationships/hyperlink" Target="http://wiki.htzq.htsc.com.cn/pages/viewpage.action?pageId=441259136" TargetMode="External"/><Relationship Id="rId40" Type="http://schemas.openxmlformats.org/officeDocument/2006/relationships/hyperlink" Target="http://wiki.htzq.htsc.com.cn/pages/viewpage.action?pageId=454080280" TargetMode="External"/><Relationship Id="rId4" Type="http://schemas.openxmlformats.org/officeDocument/2006/relationships/hyperlink" Target="http://jira.htzq.htsc.com.cn/browse/FICCHEADS-1136" TargetMode="External"/><Relationship Id="rId39" Type="http://schemas.openxmlformats.org/officeDocument/2006/relationships/hyperlink" Target="http://wiki.htzq.htsc.com.cn/pages/viewpage.action?pageId=453495134" TargetMode="External"/><Relationship Id="rId38" Type="http://schemas.openxmlformats.org/officeDocument/2006/relationships/hyperlink" Target="http://wiki.htzq.htsc.com.cn/pages/viewpage.action?pageId=454751422" TargetMode="External"/><Relationship Id="rId37" Type="http://schemas.openxmlformats.org/officeDocument/2006/relationships/hyperlink" Target="http://wiki.htzq.htsc.com.cn/pages/viewpage.action?pageId=449428742" TargetMode="External"/><Relationship Id="rId36" Type="http://schemas.openxmlformats.org/officeDocument/2006/relationships/hyperlink" Target="http://wiki.htzq.htsc.com.cn/pages/viewpage.action?pageId=448011994" TargetMode="External"/><Relationship Id="rId35" Type="http://schemas.openxmlformats.org/officeDocument/2006/relationships/hyperlink" Target="http://wiki.htzq.htsc.com.cn/pages/viewpage.action?pageId=438196306" TargetMode="External"/><Relationship Id="rId34" Type="http://schemas.openxmlformats.org/officeDocument/2006/relationships/hyperlink" Target="http://wiki.htzq.htsc.com.cn/x/YktmGw" TargetMode="External"/><Relationship Id="rId33" Type="http://schemas.openxmlformats.org/officeDocument/2006/relationships/hyperlink" Target="http://wiki.htzq.htsc.com.cn/pages/viewpage.action?pageId=455322331" TargetMode="External"/><Relationship Id="rId32" Type="http://schemas.openxmlformats.org/officeDocument/2006/relationships/hyperlink" Target="http://wiki.htzq.htsc.com.cn/pages/viewpage.action?pageId=460337200" TargetMode="External"/><Relationship Id="rId31" Type="http://schemas.openxmlformats.org/officeDocument/2006/relationships/hyperlink" Target="http://jira.htzq.htsc.com.cn/browse/FICC-92765" TargetMode="External"/><Relationship Id="rId30" Type="http://schemas.openxmlformats.org/officeDocument/2006/relationships/hyperlink" Target="http://wiki.htzq.htsc.com.cn/pages/viewpage.action?pageId=310631324" TargetMode="External"/><Relationship Id="rId3" Type="http://schemas.openxmlformats.org/officeDocument/2006/relationships/hyperlink" Target="http://jira.htzq.htsc.com.cn/browse/FICCHEADS-1097" TargetMode="External"/><Relationship Id="rId29" Type="http://schemas.openxmlformats.org/officeDocument/2006/relationships/hyperlink" Target="http://wiki.htzq.htsc.com.cn/pages/viewpage.action?pageId=452334885" TargetMode="External"/><Relationship Id="rId28" Type="http://schemas.openxmlformats.org/officeDocument/2006/relationships/hyperlink" Target="http://wiki.htzq.htsc.com.cn/pages/viewpage.action?pageId=391885489" TargetMode="External"/><Relationship Id="rId27" Type="http://schemas.openxmlformats.org/officeDocument/2006/relationships/hyperlink" Target="http://wiki.htzq.htsc.com.cn/pages/viewpage.action?pageId=455323572" TargetMode="External"/><Relationship Id="rId26" Type="http://schemas.openxmlformats.org/officeDocument/2006/relationships/hyperlink" Target="http://wiki.htzq.htsc.com.cn/pages/viewpage.action?pageId=443098347" TargetMode="External"/><Relationship Id="rId25" Type="http://schemas.openxmlformats.org/officeDocument/2006/relationships/hyperlink" Target="http://wiki.htzq.htsc.com.cn/pages/viewpage.action?pageId=458551306" TargetMode="External"/><Relationship Id="rId24" Type="http://schemas.openxmlformats.org/officeDocument/2006/relationships/hyperlink" Target="http://wiki.htzq.htsc.com.cn/pages/viewpage.action?pageId=459693492" TargetMode="External"/><Relationship Id="rId23" Type="http://schemas.openxmlformats.org/officeDocument/2006/relationships/hyperlink" Target="http://wiki.htzq.htsc.com.cn/pages/viewpage.action?pageId=459694380" TargetMode="External"/><Relationship Id="rId22" Type="http://schemas.openxmlformats.org/officeDocument/2006/relationships/hyperlink" Target="http://wiki.htzq.htsc.com.cn/pages/viewpage.action?pageId=452350299" TargetMode="External"/><Relationship Id="rId21" Type="http://schemas.openxmlformats.org/officeDocument/2006/relationships/hyperlink" Target="http://wiki.htzq.htsc.com.cn/pages/viewpage.action?pageId=459694175" TargetMode="External"/><Relationship Id="rId20" Type="http://schemas.openxmlformats.org/officeDocument/2006/relationships/hyperlink" Target="http://wiki.htzq.htsc.com.cn/pages/viewpage.action?pageId=441280821" TargetMode="External"/><Relationship Id="rId2" Type="http://schemas.openxmlformats.org/officeDocument/2006/relationships/hyperlink" Target="http://jira.htzq.htsc.com.cn/browse/FICCHEADS-1167" TargetMode="External"/><Relationship Id="rId19" Type="http://schemas.openxmlformats.org/officeDocument/2006/relationships/hyperlink" Target="http://wiki.htzq.htsc.com.cn/pages/viewpage.action?pageId=450074118" TargetMode="External"/><Relationship Id="rId18" Type="http://schemas.openxmlformats.org/officeDocument/2006/relationships/hyperlink" Target="http://eip.htsc.com.cn/htoa/spa/workflow/static4form/index.html?_rdm=1768790739845#/main/workflow/req?requestid=7411633&amp;_workflowid=12522&amp;f_weaver_belongto_userid=70216&amp;isovertime=0&amp;preloadkey=1768790714101&amp;timestamp=1768790714101&amp;_key=7na5qv" TargetMode="External"/><Relationship Id="rId17" Type="http://schemas.openxmlformats.org/officeDocument/2006/relationships/hyperlink" Target="http://jira.htzq.htsc.com.cn/browse/FICCHEADS-1203" TargetMode="External"/><Relationship Id="rId16" Type="http://schemas.openxmlformats.org/officeDocument/2006/relationships/hyperlink" Target="http://jira.htzq.htsc.com.cn/browse/FICCHEADS-1197" TargetMode="External"/><Relationship Id="rId15" Type="http://schemas.openxmlformats.org/officeDocument/2006/relationships/hyperlink" Target="http://eip.htsc.com.cn/htoa/spa/workflow/static4form/index.html?_rdm=1766557045845" TargetMode="External"/><Relationship Id="rId14" Type="http://schemas.openxmlformats.org/officeDocument/2006/relationships/hyperlink" Target="http://eip.htsc.com.cn/htoa/spa/workflow/static4form/index.html?_rdm=1766545873966#/main/workflow/req?requestid=7188583&amp;_workflowid=12522&amp;f_weaver_belongto_userid=43671&amp;isovertime=0&amp;preloadkey=1766545820215&amp;timestamp=1766545820215&amp;_key=bwwpg8" TargetMode="External"/><Relationship Id="rId13" Type="http://schemas.openxmlformats.org/officeDocument/2006/relationships/hyperlink" Target="http://jira.htzq.htsc.com.cn/browse/FICCHEADS-1149" TargetMode="External"/><Relationship Id="rId12" Type="http://schemas.openxmlformats.org/officeDocument/2006/relationships/hyperlink" Target="http://jira.htzq.htsc.com.cn/browse/FICCHEADS-1194" TargetMode="External"/><Relationship Id="rId11" Type="http://schemas.openxmlformats.org/officeDocument/2006/relationships/hyperlink" Target="http://jira.htzq.htsc.com.cn/browse/FICCHEADS-1189" TargetMode="External"/><Relationship Id="rId10" Type="http://schemas.openxmlformats.org/officeDocument/2006/relationships/hyperlink" Target="http://jira.htzq.htsc.com.cn/browse/FICCHEADS-1140" TargetMode="External"/><Relationship Id="rId1" Type="http://schemas.openxmlformats.org/officeDocument/2006/relationships/hyperlink" Target="http://jira.htzq.htsc.com.cn/browse/FICCHEADS-118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V60"/>
  <sheetViews>
    <sheetView workbookViewId="0">
      <pane xSplit="4" ySplit="1" topLeftCell="T38" activePane="bottomRight" state="frozen"/>
      <selection/>
      <selection pane="topRight"/>
      <selection pane="bottomLeft"/>
      <selection pane="bottomRight" activeCell="C38" sqref="C38"/>
    </sheetView>
  </sheetViews>
  <sheetFormatPr defaultColWidth="9" defaultRowHeight="13.5" zeroHeight="1"/>
  <cols>
    <col min="1" max="1" width="18.75" style="1" customWidth="1"/>
    <col min="2" max="2" width="24.25" style="50" customWidth="1"/>
    <col min="3" max="3" width="28.75" style="1" customWidth="1"/>
    <col min="4" max="4" width="42.9166666666667" style="1" customWidth="1"/>
    <col min="5" max="5" width="10.875" style="1" customWidth="1"/>
    <col min="6" max="6" width="10.625" style="1" customWidth="1"/>
    <col min="7" max="7" width="13.75" style="1" customWidth="1"/>
    <col min="8" max="8" width="16.625" style="1" customWidth="1"/>
    <col min="9" max="9" width="16.75" style="1" customWidth="1"/>
    <col min="10" max="10" width="18.25" style="1" customWidth="1"/>
    <col min="11" max="11" width="10" style="1" customWidth="1"/>
    <col min="12" max="12" width="12.3583333333333" style="26" customWidth="1"/>
    <col min="13" max="13" width="21.3666666666667" style="48" customWidth="1"/>
    <col min="14" max="14" width="13" style="1" customWidth="1"/>
    <col min="15" max="15" width="13.375" style="1" customWidth="1"/>
    <col min="16" max="16" width="13.125" style="50" hidden="1" customWidth="1"/>
    <col min="17" max="17" width="9" style="1" customWidth="1"/>
    <col min="18" max="18" width="8.75" style="1" customWidth="1"/>
    <col min="19" max="19" width="25.625" style="1" customWidth="1"/>
    <col min="20" max="20" width="42.775" style="1" customWidth="1"/>
    <col min="21" max="22" width="59.6416666666667" style="1" customWidth="1"/>
    <col min="23" max="16384" width="9" style="1"/>
  </cols>
  <sheetData>
    <row r="1" ht="30" spans="1:21">
      <c r="A1" s="172" t="s">
        <v>0</v>
      </c>
      <c r="B1" s="172" t="s">
        <v>1</v>
      </c>
      <c r="C1" s="172" t="s">
        <v>2</v>
      </c>
      <c r="D1" s="172" t="s">
        <v>3</v>
      </c>
      <c r="E1" s="172" t="s">
        <v>4</v>
      </c>
      <c r="F1" s="172" t="s">
        <v>5</v>
      </c>
      <c r="G1" s="172" t="s">
        <v>6</v>
      </c>
      <c r="H1" s="172" t="s">
        <v>7</v>
      </c>
      <c r="I1" s="179" t="s">
        <v>8</v>
      </c>
      <c r="J1" s="172" t="s">
        <v>9</v>
      </c>
      <c r="K1" s="179" t="s">
        <v>10</v>
      </c>
      <c r="L1" s="180" t="s">
        <v>11</v>
      </c>
      <c r="M1" s="179" t="s">
        <v>12</v>
      </c>
      <c r="N1" s="184" t="s">
        <v>13</v>
      </c>
      <c r="O1" s="185" t="s">
        <v>14</v>
      </c>
      <c r="P1" s="185" t="s">
        <v>15</v>
      </c>
      <c r="Q1" s="185" t="s">
        <v>16</v>
      </c>
      <c r="R1" s="185" t="s">
        <v>17</v>
      </c>
      <c r="S1" s="185" t="s">
        <v>18</v>
      </c>
      <c r="T1" s="189" t="s">
        <v>19</v>
      </c>
      <c r="U1" s="185" t="s">
        <v>20</v>
      </c>
    </row>
    <row r="2" ht="49.5" spans="1:21">
      <c r="A2" s="12" t="s">
        <v>21</v>
      </c>
      <c r="B2" s="56" t="s">
        <v>22</v>
      </c>
      <c r="C2" s="34" t="s">
        <v>23</v>
      </c>
      <c r="D2" s="155" t="s">
        <v>24</v>
      </c>
      <c r="E2" s="55" t="s">
        <v>25</v>
      </c>
      <c r="F2" s="55" t="s">
        <v>26</v>
      </c>
      <c r="G2" s="61" t="s">
        <v>27</v>
      </c>
      <c r="H2" s="55" t="s">
        <v>28</v>
      </c>
      <c r="I2" s="55" t="s">
        <v>29</v>
      </c>
      <c r="J2" s="55"/>
      <c r="K2" s="68"/>
      <c r="L2" s="82" t="s">
        <v>30</v>
      </c>
      <c r="M2" s="68" t="s">
        <v>31</v>
      </c>
      <c r="N2" s="83" t="s">
        <v>32</v>
      </c>
      <c r="O2" s="61" t="s">
        <v>33</v>
      </c>
      <c r="P2" s="55" t="s">
        <v>34</v>
      </c>
      <c r="Q2" s="77" t="s">
        <v>35</v>
      </c>
      <c r="R2" s="77" t="s">
        <v>35</v>
      </c>
      <c r="S2" s="77" t="s">
        <v>36</v>
      </c>
      <c r="T2" s="6" t="s">
        <v>37</v>
      </c>
      <c r="U2" s="186" t="s">
        <v>38</v>
      </c>
    </row>
    <row r="3" ht="67.5" customHeight="1" spans="1:21">
      <c r="A3" s="12" t="s">
        <v>21</v>
      </c>
      <c r="B3" s="56" t="s">
        <v>39</v>
      </c>
      <c r="C3" s="34" t="s">
        <v>40</v>
      </c>
      <c r="D3" s="31" t="s">
        <v>41</v>
      </c>
      <c r="E3" s="55" t="s">
        <v>25</v>
      </c>
      <c r="F3" s="55" t="s">
        <v>42</v>
      </c>
      <c r="G3" s="61" t="s">
        <v>27</v>
      </c>
      <c r="H3" s="55" t="s">
        <v>28</v>
      </c>
      <c r="I3" s="55" t="s">
        <v>29</v>
      </c>
      <c r="J3" s="55"/>
      <c r="K3" s="68"/>
      <c r="L3" s="82" t="s">
        <v>30</v>
      </c>
      <c r="M3" s="68" t="s">
        <v>31</v>
      </c>
      <c r="N3" s="83" t="s">
        <v>32</v>
      </c>
      <c r="O3" s="61" t="s">
        <v>33</v>
      </c>
      <c r="P3" s="55" t="s">
        <v>34</v>
      </c>
      <c r="Q3" s="77" t="s">
        <v>35</v>
      </c>
      <c r="R3" s="77" t="s">
        <v>35</v>
      </c>
      <c r="S3" s="135" t="s">
        <v>36</v>
      </c>
      <c r="T3" s="6" t="s">
        <v>43</v>
      </c>
      <c r="U3" s="186" t="s">
        <v>38</v>
      </c>
    </row>
    <row r="4" s="1" customFormat="1" ht="49.5" spans="1:21">
      <c r="A4" s="12" t="s">
        <v>44</v>
      </c>
      <c r="B4" s="56" t="s">
        <v>45</v>
      </c>
      <c r="C4" s="34" t="s">
        <v>46</v>
      </c>
      <c r="D4" s="34"/>
      <c r="E4" s="55" t="s">
        <v>47</v>
      </c>
      <c r="F4" s="55" t="s">
        <v>26</v>
      </c>
      <c r="G4" s="55" t="s">
        <v>48</v>
      </c>
      <c r="H4" s="55" t="s">
        <v>49</v>
      </c>
      <c r="I4" s="55" t="s">
        <v>29</v>
      </c>
      <c r="J4" s="68" t="s">
        <v>50</v>
      </c>
      <c r="K4" s="97"/>
      <c r="L4" s="17" t="s">
        <v>51</v>
      </c>
      <c r="M4" s="68" t="s">
        <v>31</v>
      </c>
      <c r="N4" s="61" t="s">
        <v>52</v>
      </c>
      <c r="O4" s="61" t="s">
        <v>53</v>
      </c>
      <c r="P4" s="55" t="s">
        <v>54</v>
      </c>
      <c r="Q4" s="77" t="s">
        <v>35</v>
      </c>
      <c r="R4" s="77" t="s">
        <v>35</v>
      </c>
      <c r="S4" s="77" t="s">
        <v>36</v>
      </c>
      <c r="T4" s="6" t="s">
        <v>55</v>
      </c>
      <c r="U4" s="191" t="s">
        <v>56</v>
      </c>
    </row>
    <row r="5" s="1" customFormat="1" ht="66" spans="1:21">
      <c r="A5" s="12" t="s">
        <v>44</v>
      </c>
      <c r="B5" s="56" t="s">
        <v>57</v>
      </c>
      <c r="C5" s="34" t="s">
        <v>58</v>
      </c>
      <c r="D5" s="34"/>
      <c r="E5" s="55" t="s">
        <v>47</v>
      </c>
      <c r="F5" s="55" t="s">
        <v>59</v>
      </c>
      <c r="G5" s="55" t="s">
        <v>60</v>
      </c>
      <c r="H5" s="55" t="s">
        <v>61</v>
      </c>
      <c r="I5" s="55" t="s">
        <v>62</v>
      </c>
      <c r="J5" s="68" t="s">
        <v>63</v>
      </c>
      <c r="K5" s="68"/>
      <c r="L5" s="82" t="s">
        <v>64</v>
      </c>
      <c r="M5" s="68" t="s">
        <v>31</v>
      </c>
      <c r="N5" s="61" t="s">
        <v>65</v>
      </c>
      <c r="O5" s="61" t="s">
        <v>66</v>
      </c>
      <c r="P5" s="55" t="s">
        <v>67</v>
      </c>
      <c r="Q5" s="77" t="s">
        <v>35</v>
      </c>
      <c r="R5" s="77" t="s">
        <v>35</v>
      </c>
      <c r="S5" s="77" t="s">
        <v>68</v>
      </c>
      <c r="T5" s="6" t="s">
        <v>69</v>
      </c>
      <c r="U5" s="191" t="s">
        <v>70</v>
      </c>
    </row>
    <row r="6" ht="69.15" customHeight="1" spans="1:21">
      <c r="A6" s="12" t="s">
        <v>21</v>
      </c>
      <c r="B6" s="56" t="s">
        <v>71</v>
      </c>
      <c r="C6" s="34" t="s">
        <v>72</v>
      </c>
      <c r="D6" s="34" t="s">
        <v>73</v>
      </c>
      <c r="E6" s="55" t="s">
        <v>25</v>
      </c>
      <c r="F6" s="55" t="s">
        <v>42</v>
      </c>
      <c r="G6" s="61" t="s">
        <v>27</v>
      </c>
      <c r="H6" s="55" t="s">
        <v>28</v>
      </c>
      <c r="I6" s="55" t="s">
        <v>29</v>
      </c>
      <c r="J6" s="55"/>
      <c r="K6" s="68"/>
      <c r="L6" s="82" t="s">
        <v>30</v>
      </c>
      <c r="M6" s="68" t="s">
        <v>31</v>
      </c>
      <c r="N6" s="83" t="s">
        <v>32</v>
      </c>
      <c r="O6" s="61" t="s">
        <v>33</v>
      </c>
      <c r="P6" s="55" t="s">
        <v>34</v>
      </c>
      <c r="Q6" s="77" t="s">
        <v>35</v>
      </c>
      <c r="R6" s="77" t="s">
        <v>35</v>
      </c>
      <c r="S6" s="77" t="s">
        <v>36</v>
      </c>
      <c r="T6" s="6" t="s">
        <v>74</v>
      </c>
      <c r="U6" s="186" t="s">
        <v>75</v>
      </c>
    </row>
    <row r="7" ht="33" spans="1:21">
      <c r="A7" s="12" t="s">
        <v>21</v>
      </c>
      <c r="B7" s="56" t="s">
        <v>76</v>
      </c>
      <c r="C7" s="34" t="s">
        <v>77</v>
      </c>
      <c r="D7" s="34"/>
      <c r="E7" s="55" t="s">
        <v>25</v>
      </c>
      <c r="F7" s="55" t="s">
        <v>78</v>
      </c>
      <c r="G7" s="55" t="s">
        <v>79</v>
      </c>
      <c r="H7" s="55" t="s">
        <v>80</v>
      </c>
      <c r="I7" s="55" t="s">
        <v>81</v>
      </c>
      <c r="J7" s="68" t="s">
        <v>82</v>
      </c>
      <c r="K7" s="97"/>
      <c r="L7" s="17" t="s">
        <v>64</v>
      </c>
      <c r="M7" s="68" t="s">
        <v>31</v>
      </c>
      <c r="N7" s="87" t="s">
        <v>83</v>
      </c>
      <c r="O7" s="87" t="s">
        <v>84</v>
      </c>
      <c r="P7" s="105" t="s">
        <v>34</v>
      </c>
      <c r="Q7" s="77" t="s">
        <v>35</v>
      </c>
      <c r="R7" s="77" t="s">
        <v>35</v>
      </c>
      <c r="S7" s="77" t="s">
        <v>36</v>
      </c>
      <c r="T7" s="6" t="s">
        <v>85</v>
      </c>
      <c r="U7" s="186" t="s">
        <v>38</v>
      </c>
    </row>
    <row r="8" ht="33" spans="1:21">
      <c r="A8" s="12" t="s">
        <v>21</v>
      </c>
      <c r="B8" s="56" t="s">
        <v>86</v>
      </c>
      <c r="C8" s="34" t="s">
        <v>87</v>
      </c>
      <c r="D8" s="34"/>
      <c r="E8" s="55" t="s">
        <v>25</v>
      </c>
      <c r="F8" s="55" t="s">
        <v>88</v>
      </c>
      <c r="G8" s="55" t="s">
        <v>89</v>
      </c>
      <c r="H8" s="55" t="s">
        <v>90</v>
      </c>
      <c r="I8" s="68" t="s">
        <v>81</v>
      </c>
      <c r="J8" s="68" t="s">
        <v>82</v>
      </c>
      <c r="K8" s="97"/>
      <c r="L8" s="17" t="s">
        <v>64</v>
      </c>
      <c r="M8" s="68" t="s">
        <v>31</v>
      </c>
      <c r="N8" s="61" t="s">
        <v>52</v>
      </c>
      <c r="O8" s="61" t="s">
        <v>91</v>
      </c>
      <c r="P8" s="55" t="s">
        <v>34</v>
      </c>
      <c r="Q8" s="77" t="s">
        <v>35</v>
      </c>
      <c r="R8" s="77" t="s">
        <v>35</v>
      </c>
      <c r="S8" s="77" t="s">
        <v>36</v>
      </c>
      <c r="T8" s="6" t="s">
        <v>92</v>
      </c>
      <c r="U8" s="191" t="s">
        <v>70</v>
      </c>
    </row>
    <row r="9" ht="33" spans="1:21">
      <c r="A9" s="12" t="s">
        <v>21</v>
      </c>
      <c r="B9" s="56" t="s">
        <v>93</v>
      </c>
      <c r="C9" s="34" t="s">
        <v>94</v>
      </c>
      <c r="D9" s="31" t="s">
        <v>95</v>
      </c>
      <c r="E9" s="61" t="s">
        <v>25</v>
      </c>
      <c r="F9" s="61" t="s">
        <v>88</v>
      </c>
      <c r="G9" s="61" t="s">
        <v>89</v>
      </c>
      <c r="H9" s="61" t="s">
        <v>90</v>
      </c>
      <c r="I9" s="89" t="s">
        <v>81</v>
      </c>
      <c r="J9" s="68" t="s">
        <v>82</v>
      </c>
      <c r="K9" s="68"/>
      <c r="L9" s="82" t="s">
        <v>64</v>
      </c>
      <c r="M9" s="55" t="s">
        <v>31</v>
      </c>
      <c r="N9" s="83" t="s">
        <v>52</v>
      </c>
      <c r="O9" s="61" t="s">
        <v>96</v>
      </c>
      <c r="P9" s="55" t="s">
        <v>34</v>
      </c>
      <c r="Q9" s="77" t="s">
        <v>35</v>
      </c>
      <c r="R9" s="77" t="s">
        <v>35</v>
      </c>
      <c r="S9" s="77" t="s">
        <v>36</v>
      </c>
      <c r="T9" s="6" t="s">
        <v>97</v>
      </c>
      <c r="U9" s="186" t="s">
        <v>38</v>
      </c>
    </row>
    <row r="10" ht="119.05" customHeight="1" spans="1:21">
      <c r="A10" s="65" t="s">
        <v>21</v>
      </c>
      <c r="B10" s="66" t="s">
        <v>98</v>
      </c>
      <c r="C10" s="31" t="s">
        <v>99</v>
      </c>
      <c r="D10" s="31" t="s">
        <v>100</v>
      </c>
      <c r="E10" s="68" t="s">
        <v>25</v>
      </c>
      <c r="F10" s="90" t="s">
        <v>101</v>
      </c>
      <c r="G10" s="90" t="s">
        <v>102</v>
      </c>
      <c r="H10" s="90" t="s">
        <v>61</v>
      </c>
      <c r="I10" s="90" t="s">
        <v>103</v>
      </c>
      <c r="J10" s="82" t="s">
        <v>104</v>
      </c>
      <c r="K10" s="91"/>
      <c r="L10" s="82" t="s">
        <v>105</v>
      </c>
      <c r="M10" s="55" t="s">
        <v>31</v>
      </c>
      <c r="N10" s="91" t="s">
        <v>83</v>
      </c>
      <c r="O10" s="12" t="s">
        <v>84</v>
      </c>
      <c r="P10" s="6" t="s">
        <v>34</v>
      </c>
      <c r="Q10" s="113" t="s">
        <v>35</v>
      </c>
      <c r="R10" s="113" t="s">
        <v>35</v>
      </c>
      <c r="S10" s="190" t="s">
        <v>106</v>
      </c>
      <c r="T10" s="76" t="s">
        <v>107</v>
      </c>
      <c r="U10" s="186" t="s">
        <v>38</v>
      </c>
    </row>
    <row r="11" ht="114.15" customHeight="1" spans="1:21">
      <c r="A11" s="65" t="s">
        <v>44</v>
      </c>
      <c r="B11" s="66" t="s">
        <v>108</v>
      </c>
      <c r="C11" s="31" t="s">
        <v>109</v>
      </c>
      <c r="D11" s="31" t="s">
        <v>110</v>
      </c>
      <c r="E11" s="62" t="s">
        <v>47</v>
      </c>
      <c r="F11" s="178" t="s">
        <v>78</v>
      </c>
      <c r="G11" s="178" t="s">
        <v>111</v>
      </c>
      <c r="H11" s="178" t="s">
        <v>61</v>
      </c>
      <c r="I11" s="90" t="s">
        <v>62</v>
      </c>
      <c r="J11" s="82" t="s">
        <v>112</v>
      </c>
      <c r="K11" s="91"/>
      <c r="L11" s="82" t="s">
        <v>105</v>
      </c>
      <c r="M11" s="55" t="s">
        <v>31</v>
      </c>
      <c r="N11" s="91" t="s">
        <v>65</v>
      </c>
      <c r="O11" s="91" t="s">
        <v>84</v>
      </c>
      <c r="P11" s="76"/>
      <c r="Q11" s="113" t="s">
        <v>35</v>
      </c>
      <c r="R11" s="113" t="s">
        <v>35</v>
      </c>
      <c r="S11" s="190" t="s">
        <v>68</v>
      </c>
      <c r="T11" s="76" t="s">
        <v>113</v>
      </c>
      <c r="U11" s="186" t="s">
        <v>38</v>
      </c>
    </row>
    <row r="12" ht="66" spans="1:21">
      <c r="A12" s="65" t="s">
        <v>44</v>
      </c>
      <c r="B12" s="66" t="s">
        <v>114</v>
      </c>
      <c r="C12" s="31" t="s">
        <v>115</v>
      </c>
      <c r="D12" s="31" t="s">
        <v>116</v>
      </c>
      <c r="E12" s="68" t="s">
        <v>47</v>
      </c>
      <c r="F12" s="90" t="s">
        <v>117</v>
      </c>
      <c r="G12" s="90" t="s">
        <v>60</v>
      </c>
      <c r="H12" s="90" t="s">
        <v>49</v>
      </c>
      <c r="I12" s="90" t="s">
        <v>62</v>
      </c>
      <c r="J12" s="82" t="s">
        <v>118</v>
      </c>
      <c r="K12" s="91"/>
      <c r="L12" s="82" t="s">
        <v>64</v>
      </c>
      <c r="M12" s="55" t="s">
        <v>31</v>
      </c>
      <c r="N12" s="91" t="s">
        <v>65</v>
      </c>
      <c r="O12" s="91" t="s">
        <v>84</v>
      </c>
      <c r="P12" s="76"/>
      <c r="Q12" s="113" t="s">
        <v>35</v>
      </c>
      <c r="R12" s="113" t="s">
        <v>35</v>
      </c>
      <c r="S12" s="190" t="s">
        <v>68</v>
      </c>
      <c r="T12" s="76" t="s">
        <v>113</v>
      </c>
      <c r="U12" s="186" t="s">
        <v>38</v>
      </c>
    </row>
    <row r="13" ht="82.5" spans="1:21">
      <c r="A13" s="65" t="s">
        <v>21</v>
      </c>
      <c r="B13" s="66" t="s">
        <v>119</v>
      </c>
      <c r="C13" s="31" t="s">
        <v>120</v>
      </c>
      <c r="D13" s="31" t="s">
        <v>121</v>
      </c>
      <c r="E13" s="68" t="s">
        <v>25</v>
      </c>
      <c r="F13" s="90" t="s">
        <v>26</v>
      </c>
      <c r="G13" s="90" t="s">
        <v>27</v>
      </c>
      <c r="H13" s="90" t="s">
        <v>122</v>
      </c>
      <c r="I13" s="90" t="s">
        <v>29</v>
      </c>
      <c r="J13" s="82" t="s">
        <v>123</v>
      </c>
      <c r="K13" s="91"/>
      <c r="L13" s="82" t="s">
        <v>30</v>
      </c>
      <c r="M13" s="55" t="s">
        <v>31</v>
      </c>
      <c r="N13" s="91" t="s">
        <v>32</v>
      </c>
      <c r="O13" s="91" t="s">
        <v>33</v>
      </c>
      <c r="P13" s="76" t="s">
        <v>34</v>
      </c>
      <c r="Q13" s="113" t="s">
        <v>35</v>
      </c>
      <c r="R13" s="113" t="s">
        <v>35</v>
      </c>
      <c r="S13" s="190" t="s">
        <v>36</v>
      </c>
      <c r="T13" s="76" t="s">
        <v>124</v>
      </c>
      <c r="U13" s="186" t="s">
        <v>38</v>
      </c>
    </row>
    <row r="14" ht="18.35" customHeight="1" spans="1:21">
      <c r="A14" s="65" t="s">
        <v>21</v>
      </c>
      <c r="B14" s="66" t="s">
        <v>125</v>
      </c>
      <c r="C14" s="31" t="s">
        <v>126</v>
      </c>
      <c r="D14" s="31" t="s">
        <v>127</v>
      </c>
      <c r="E14" s="68" t="s">
        <v>25</v>
      </c>
      <c r="F14" s="68" t="s">
        <v>128</v>
      </c>
      <c r="G14" s="68" t="s">
        <v>129</v>
      </c>
      <c r="H14" s="68" t="s">
        <v>61</v>
      </c>
      <c r="I14" s="90" t="s">
        <v>130</v>
      </c>
      <c r="J14" s="82" t="s">
        <v>131</v>
      </c>
      <c r="K14" s="91"/>
      <c r="L14" s="82" t="s">
        <v>105</v>
      </c>
      <c r="M14" s="55" t="s">
        <v>31</v>
      </c>
      <c r="N14" s="12" t="s">
        <v>132</v>
      </c>
      <c r="O14" s="12" t="s">
        <v>84</v>
      </c>
      <c r="P14" s="76" t="s">
        <v>34</v>
      </c>
      <c r="Q14" s="113" t="s">
        <v>35</v>
      </c>
      <c r="R14" s="113" t="s">
        <v>35</v>
      </c>
      <c r="S14" s="190" t="s">
        <v>106</v>
      </c>
      <c r="T14" s="76" t="s">
        <v>133</v>
      </c>
      <c r="U14" s="192" t="s">
        <v>134</v>
      </c>
    </row>
    <row r="15" ht="49.5" spans="1:21">
      <c r="A15" s="65" t="s">
        <v>21</v>
      </c>
      <c r="B15" s="66" t="s">
        <v>135</v>
      </c>
      <c r="C15" s="31" t="s">
        <v>136</v>
      </c>
      <c r="D15" s="68" t="s">
        <v>137</v>
      </c>
      <c r="E15" s="68" t="s">
        <v>25</v>
      </c>
      <c r="F15" s="90" t="s">
        <v>88</v>
      </c>
      <c r="G15" s="90" t="s">
        <v>89</v>
      </c>
      <c r="H15" s="90" t="s">
        <v>138</v>
      </c>
      <c r="I15" s="90" t="s">
        <v>103</v>
      </c>
      <c r="J15" s="82" t="s">
        <v>139</v>
      </c>
      <c r="K15" s="91"/>
      <c r="L15" s="82" t="s">
        <v>64</v>
      </c>
      <c r="M15" s="117" t="s">
        <v>140</v>
      </c>
      <c r="N15" s="91" t="s">
        <v>83</v>
      </c>
      <c r="O15" s="77" t="s">
        <v>91</v>
      </c>
      <c r="P15" s="8" t="s">
        <v>34</v>
      </c>
      <c r="Q15" s="113" t="s">
        <v>35</v>
      </c>
      <c r="R15" s="113" t="s">
        <v>35</v>
      </c>
      <c r="S15" s="190" t="s">
        <v>141</v>
      </c>
      <c r="T15" s="76" t="s">
        <v>142</v>
      </c>
      <c r="U15" s="191" t="s">
        <v>70</v>
      </c>
    </row>
    <row r="16" s="1" customFormat="1" ht="52.5" customHeight="1" spans="1:21">
      <c r="A16" s="65" t="s">
        <v>21</v>
      </c>
      <c r="B16" s="66" t="s">
        <v>143</v>
      </c>
      <c r="C16" s="31" t="s">
        <v>144</v>
      </c>
      <c r="D16" s="31" t="s">
        <v>145</v>
      </c>
      <c r="E16" s="31" t="s">
        <v>25</v>
      </c>
      <c r="F16" s="31" t="s">
        <v>117</v>
      </c>
      <c r="G16" s="31" t="s">
        <v>146</v>
      </c>
      <c r="H16" s="31" t="s">
        <v>61</v>
      </c>
      <c r="I16" s="31" t="s">
        <v>103</v>
      </c>
      <c r="J16" s="31" t="s">
        <v>147</v>
      </c>
      <c r="K16" s="91"/>
      <c r="L16" s="82" t="s">
        <v>148</v>
      </c>
      <c r="M16" s="117" t="s">
        <v>149</v>
      </c>
      <c r="N16" s="91" t="s">
        <v>150</v>
      </c>
      <c r="O16" s="61" t="s">
        <v>96</v>
      </c>
      <c r="P16" s="76" t="s">
        <v>34</v>
      </c>
      <c r="Q16" s="113" t="s">
        <v>35</v>
      </c>
      <c r="R16" s="113" t="s">
        <v>151</v>
      </c>
      <c r="S16" s="190" t="s">
        <v>152</v>
      </c>
      <c r="T16" s="76" t="s">
        <v>153</v>
      </c>
      <c r="U16" s="193"/>
    </row>
    <row r="17" s="1" customFormat="1" ht="54.15" customHeight="1" spans="1:21">
      <c r="A17" s="65" t="s">
        <v>21</v>
      </c>
      <c r="B17" s="66" t="s">
        <v>154</v>
      </c>
      <c r="C17" s="31" t="s">
        <v>155</v>
      </c>
      <c r="D17" s="31" t="s">
        <v>156</v>
      </c>
      <c r="E17" s="31" t="s">
        <v>25</v>
      </c>
      <c r="F17" s="31" t="s">
        <v>157</v>
      </c>
      <c r="G17" s="31" t="s">
        <v>158</v>
      </c>
      <c r="H17" s="31" t="s">
        <v>61</v>
      </c>
      <c r="I17" s="31" t="s">
        <v>62</v>
      </c>
      <c r="J17" s="31" t="s">
        <v>159</v>
      </c>
      <c r="K17" s="91"/>
      <c r="L17" s="82" t="s">
        <v>148</v>
      </c>
      <c r="M17" s="118" t="s">
        <v>62</v>
      </c>
      <c r="N17" s="91" t="s">
        <v>160</v>
      </c>
      <c r="O17" s="12" t="s">
        <v>84</v>
      </c>
      <c r="P17" s="76" t="s">
        <v>34</v>
      </c>
      <c r="Q17" s="113" t="s">
        <v>35</v>
      </c>
      <c r="R17" s="113" t="s">
        <v>151</v>
      </c>
      <c r="S17" s="190" t="s">
        <v>152</v>
      </c>
      <c r="T17" s="76" t="s">
        <v>153</v>
      </c>
      <c r="U17" s="193"/>
    </row>
    <row r="18" s="1" customFormat="1" ht="96.65" customHeight="1" spans="1:21">
      <c r="A18" s="65" t="s">
        <v>21</v>
      </c>
      <c r="B18" s="66" t="s">
        <v>161</v>
      </c>
      <c r="C18" s="31" t="s">
        <v>162</v>
      </c>
      <c r="D18" s="31" t="s">
        <v>163</v>
      </c>
      <c r="E18" s="31" t="s">
        <v>25</v>
      </c>
      <c r="F18" s="31" t="s">
        <v>26</v>
      </c>
      <c r="G18" s="31" t="s">
        <v>164</v>
      </c>
      <c r="H18" s="31" t="s">
        <v>28</v>
      </c>
      <c r="I18" s="31" t="s">
        <v>29</v>
      </c>
      <c r="J18" s="31"/>
      <c r="K18" s="91"/>
      <c r="L18" s="82" t="s">
        <v>30</v>
      </c>
      <c r="M18" s="117" t="s">
        <v>29</v>
      </c>
      <c r="N18" s="91" t="s">
        <v>32</v>
      </c>
      <c r="O18" s="91" t="s">
        <v>33</v>
      </c>
      <c r="P18" s="76" t="s">
        <v>34</v>
      </c>
      <c r="Q18" s="113" t="s">
        <v>35</v>
      </c>
      <c r="R18" s="113" t="s">
        <v>151</v>
      </c>
      <c r="S18" s="190" t="s">
        <v>152</v>
      </c>
      <c r="T18" s="76" t="s">
        <v>153</v>
      </c>
      <c r="U18" s="193"/>
    </row>
    <row r="19" ht="66" spans="1:21">
      <c r="A19" s="65" t="s">
        <v>21</v>
      </c>
      <c r="B19" s="66" t="s">
        <v>165</v>
      </c>
      <c r="C19" s="173" t="s">
        <v>166</v>
      </c>
      <c r="D19" s="31" t="s">
        <v>167</v>
      </c>
      <c r="E19" s="68" t="s">
        <v>25</v>
      </c>
      <c r="F19" s="90" t="s">
        <v>88</v>
      </c>
      <c r="G19" s="90" t="s">
        <v>168</v>
      </c>
      <c r="H19" s="90" t="s">
        <v>169</v>
      </c>
      <c r="I19" s="90" t="s">
        <v>170</v>
      </c>
      <c r="J19" s="82" t="s">
        <v>171</v>
      </c>
      <c r="K19" s="91"/>
      <c r="L19" s="82" t="s">
        <v>51</v>
      </c>
      <c r="M19" s="117" t="s">
        <v>170</v>
      </c>
      <c r="N19" s="91" t="s">
        <v>172</v>
      </c>
      <c r="O19" s="91" t="s">
        <v>33</v>
      </c>
      <c r="P19" s="76" t="s">
        <v>34</v>
      </c>
      <c r="Q19" s="113" t="s">
        <v>35</v>
      </c>
      <c r="R19" s="113" t="s">
        <v>151</v>
      </c>
      <c r="S19" s="190" t="s">
        <v>152</v>
      </c>
      <c r="T19" s="76" t="s">
        <v>173</v>
      </c>
      <c r="U19" s="194" t="s">
        <v>174</v>
      </c>
    </row>
    <row r="20" ht="33" spans="1:21">
      <c r="A20" s="65" t="s">
        <v>21</v>
      </c>
      <c r="B20" s="66" t="s">
        <v>175</v>
      </c>
      <c r="C20" s="31" t="s">
        <v>176</v>
      </c>
      <c r="D20" s="31" t="s">
        <v>177</v>
      </c>
      <c r="E20" s="68" t="s">
        <v>25</v>
      </c>
      <c r="F20" s="90" t="s">
        <v>178</v>
      </c>
      <c r="G20" s="90" t="s">
        <v>179</v>
      </c>
      <c r="H20" s="90" t="s">
        <v>61</v>
      </c>
      <c r="I20" s="90" t="s">
        <v>130</v>
      </c>
      <c r="J20" s="82" t="s">
        <v>131</v>
      </c>
      <c r="K20" s="91"/>
      <c r="L20" s="82" t="s">
        <v>105</v>
      </c>
      <c r="M20" s="117" t="s">
        <v>180</v>
      </c>
      <c r="N20" s="12" t="s">
        <v>132</v>
      </c>
      <c r="O20" s="12" t="s">
        <v>84</v>
      </c>
      <c r="P20" s="76" t="s">
        <v>34</v>
      </c>
      <c r="Q20" s="77" t="s">
        <v>35</v>
      </c>
      <c r="R20" s="113" t="s">
        <v>151</v>
      </c>
      <c r="S20" s="190" t="s">
        <v>152</v>
      </c>
      <c r="T20" s="76" t="s">
        <v>153</v>
      </c>
      <c r="U20" s="194"/>
    </row>
    <row r="21" s="1" customFormat="1" ht="58.35" customHeight="1" spans="1:21">
      <c r="A21" s="65" t="s">
        <v>21</v>
      </c>
      <c r="B21" s="66" t="s">
        <v>181</v>
      </c>
      <c r="C21" s="31" t="s">
        <v>182</v>
      </c>
      <c r="D21" s="31" t="s">
        <v>183</v>
      </c>
      <c r="E21" s="31" t="s">
        <v>25</v>
      </c>
      <c r="F21" s="31" t="s">
        <v>178</v>
      </c>
      <c r="G21" s="31" t="s">
        <v>178</v>
      </c>
      <c r="H21" s="31" t="s">
        <v>184</v>
      </c>
      <c r="I21" s="31" t="s">
        <v>130</v>
      </c>
      <c r="J21" s="31"/>
      <c r="K21" s="91"/>
      <c r="L21" s="82" t="s">
        <v>105</v>
      </c>
      <c r="M21" s="117" t="s">
        <v>185</v>
      </c>
      <c r="N21" s="91" t="s">
        <v>132</v>
      </c>
      <c r="O21" s="12" t="s">
        <v>84</v>
      </c>
      <c r="P21" s="76" t="s">
        <v>34</v>
      </c>
      <c r="Q21" s="113" t="s">
        <v>35</v>
      </c>
      <c r="R21" s="113" t="s">
        <v>151</v>
      </c>
      <c r="S21" s="190" t="s">
        <v>152</v>
      </c>
      <c r="T21" s="76" t="s">
        <v>153</v>
      </c>
      <c r="U21" s="193"/>
    </row>
    <row r="22" s="1" customFormat="1" ht="75.85" customHeight="1" spans="1:21">
      <c r="A22" s="65" t="s">
        <v>21</v>
      </c>
      <c r="B22" s="66" t="s">
        <v>186</v>
      </c>
      <c r="C22" s="31" t="s">
        <v>187</v>
      </c>
      <c r="D22" s="31" t="s">
        <v>188</v>
      </c>
      <c r="E22" s="31" t="s">
        <v>25</v>
      </c>
      <c r="F22" s="31" t="s">
        <v>88</v>
      </c>
      <c r="G22" s="31" t="s">
        <v>89</v>
      </c>
      <c r="H22" s="31" t="s">
        <v>89</v>
      </c>
      <c r="I22" s="31" t="s">
        <v>81</v>
      </c>
      <c r="J22" s="31" t="s">
        <v>82</v>
      </c>
      <c r="K22" s="91"/>
      <c r="L22" s="82" t="s">
        <v>189</v>
      </c>
      <c r="M22" s="117" t="s">
        <v>190</v>
      </c>
      <c r="N22" s="91" t="s">
        <v>52</v>
      </c>
      <c r="O22" s="77" t="s">
        <v>91</v>
      </c>
      <c r="P22" s="76" t="s">
        <v>34</v>
      </c>
      <c r="Q22" s="113" t="s">
        <v>35</v>
      </c>
      <c r="R22" s="113" t="s">
        <v>151</v>
      </c>
      <c r="S22" s="190" t="s">
        <v>152</v>
      </c>
      <c r="T22" s="76" t="s">
        <v>153</v>
      </c>
      <c r="U22" s="193"/>
    </row>
    <row r="23" s="1" customFormat="1" ht="94.15" customHeight="1" spans="1:21">
      <c r="A23" s="65" t="s">
        <v>21</v>
      </c>
      <c r="B23" s="66" t="s">
        <v>191</v>
      </c>
      <c r="C23" s="31" t="s">
        <v>192</v>
      </c>
      <c r="D23" s="31" t="s">
        <v>193</v>
      </c>
      <c r="E23" s="31" t="s">
        <v>25</v>
      </c>
      <c r="F23" s="31" t="s">
        <v>88</v>
      </c>
      <c r="G23" s="31" t="s">
        <v>89</v>
      </c>
      <c r="H23" s="31" t="s">
        <v>194</v>
      </c>
      <c r="I23" s="31" t="s">
        <v>81</v>
      </c>
      <c r="J23" s="31" t="s">
        <v>82</v>
      </c>
      <c r="K23" s="91"/>
      <c r="L23" s="82" t="s">
        <v>189</v>
      </c>
      <c r="M23" s="117" t="s">
        <v>195</v>
      </c>
      <c r="N23" s="91" t="s">
        <v>52</v>
      </c>
      <c r="O23" s="186" t="s">
        <v>196</v>
      </c>
      <c r="P23" s="76" t="s">
        <v>34</v>
      </c>
      <c r="Q23" s="113" t="s">
        <v>35</v>
      </c>
      <c r="R23" s="113" t="s">
        <v>151</v>
      </c>
      <c r="S23" s="190" t="s">
        <v>152</v>
      </c>
      <c r="T23" s="76" t="s">
        <v>153</v>
      </c>
      <c r="U23" s="193"/>
    </row>
    <row r="24" s="1" customFormat="1" ht="74.15" customHeight="1" spans="1:21">
      <c r="A24" s="65" t="s">
        <v>21</v>
      </c>
      <c r="B24" s="66" t="s">
        <v>197</v>
      </c>
      <c r="C24" s="31" t="s">
        <v>198</v>
      </c>
      <c r="D24" s="31" t="s">
        <v>199</v>
      </c>
      <c r="E24" s="31" t="s">
        <v>25</v>
      </c>
      <c r="F24" s="31" t="s">
        <v>88</v>
      </c>
      <c r="G24" s="31" t="s">
        <v>200</v>
      </c>
      <c r="H24" s="31" t="s">
        <v>201</v>
      </c>
      <c r="I24" s="31" t="s">
        <v>202</v>
      </c>
      <c r="J24" s="31" t="s">
        <v>203</v>
      </c>
      <c r="K24" s="91"/>
      <c r="L24" s="82" t="s">
        <v>148</v>
      </c>
      <c r="M24" s="118" t="s">
        <v>202</v>
      </c>
      <c r="N24" s="91" t="s">
        <v>150</v>
      </c>
      <c r="O24" s="61" t="s">
        <v>96</v>
      </c>
      <c r="P24" s="76" t="s">
        <v>34</v>
      </c>
      <c r="Q24" s="113" t="s">
        <v>35</v>
      </c>
      <c r="R24" s="113" t="s">
        <v>35</v>
      </c>
      <c r="S24" s="91" t="s">
        <v>36</v>
      </c>
      <c r="T24" s="76" t="s">
        <v>204</v>
      </c>
      <c r="U24" s="186" t="s">
        <v>38</v>
      </c>
    </row>
    <row r="25" ht="66" spans="1:21">
      <c r="A25" s="65" t="s">
        <v>205</v>
      </c>
      <c r="B25" s="74" t="s">
        <v>206</v>
      </c>
      <c r="C25" s="12" t="s">
        <v>207</v>
      </c>
      <c r="D25" s="174" t="s">
        <v>208</v>
      </c>
      <c r="E25" s="55" t="s">
        <v>25</v>
      </c>
      <c r="F25" s="55" t="s">
        <v>209</v>
      </c>
      <c r="G25" s="113" t="s">
        <v>210</v>
      </c>
      <c r="H25" s="90" t="s">
        <v>61</v>
      </c>
      <c r="I25" s="89"/>
      <c r="J25" s="55"/>
      <c r="K25" s="91"/>
      <c r="L25" s="82" t="s">
        <v>211</v>
      </c>
      <c r="M25" s="68" t="s">
        <v>31</v>
      </c>
      <c r="N25" s="12" t="s">
        <v>132</v>
      </c>
      <c r="O25" s="12" t="s">
        <v>84</v>
      </c>
      <c r="P25" s="76" t="s">
        <v>34</v>
      </c>
      <c r="Q25" s="13" t="s">
        <v>35</v>
      </c>
      <c r="R25" s="13" t="s">
        <v>35</v>
      </c>
      <c r="S25" s="146" t="s">
        <v>106</v>
      </c>
      <c r="T25" s="76" t="s">
        <v>212</v>
      </c>
      <c r="U25" s="186" t="s">
        <v>38</v>
      </c>
    </row>
    <row r="26" ht="33" spans="1:21">
      <c r="A26" s="13" t="s">
        <v>213</v>
      </c>
      <c r="B26" s="74" t="s">
        <v>214</v>
      </c>
      <c r="C26" s="75" t="s">
        <v>215</v>
      </c>
      <c r="D26" s="75" t="s">
        <v>216</v>
      </c>
      <c r="E26" s="55" t="s">
        <v>25</v>
      </c>
      <c r="F26" s="55" t="s">
        <v>217</v>
      </c>
      <c r="G26" s="113" t="s">
        <v>218</v>
      </c>
      <c r="H26" s="90" t="s">
        <v>61</v>
      </c>
      <c r="I26" s="89"/>
      <c r="J26" s="55"/>
      <c r="K26" s="91"/>
      <c r="L26" s="82" t="s">
        <v>219</v>
      </c>
      <c r="M26" s="68" t="s">
        <v>31</v>
      </c>
      <c r="N26" s="12" t="s">
        <v>132</v>
      </c>
      <c r="O26" s="12" t="s">
        <v>84</v>
      </c>
      <c r="P26" s="76" t="s">
        <v>34</v>
      </c>
      <c r="Q26" s="113" t="s">
        <v>35</v>
      </c>
      <c r="R26" s="113" t="s">
        <v>35</v>
      </c>
      <c r="S26" s="190" t="s">
        <v>68</v>
      </c>
      <c r="T26" s="76" t="s">
        <v>220</v>
      </c>
      <c r="U26" s="186" t="s">
        <v>75</v>
      </c>
    </row>
    <row r="27" ht="82.5" spans="1:21">
      <c r="A27" s="13" t="s">
        <v>213</v>
      </c>
      <c r="B27" s="74" t="s">
        <v>221</v>
      </c>
      <c r="C27" s="75" t="s">
        <v>222</v>
      </c>
      <c r="D27" s="75" t="s">
        <v>223</v>
      </c>
      <c r="E27" s="55" t="s">
        <v>25</v>
      </c>
      <c r="F27" s="55"/>
      <c r="G27" s="113"/>
      <c r="H27" s="55"/>
      <c r="I27" s="89"/>
      <c r="J27" s="55"/>
      <c r="K27" s="91"/>
      <c r="L27" s="82" t="s">
        <v>219</v>
      </c>
      <c r="M27" s="68"/>
      <c r="N27" s="12" t="s">
        <v>52</v>
      </c>
      <c r="O27" s="12" t="s">
        <v>91</v>
      </c>
      <c r="P27" s="76" t="s">
        <v>34</v>
      </c>
      <c r="Q27" s="113" t="s">
        <v>35</v>
      </c>
      <c r="R27" s="113" t="s">
        <v>35</v>
      </c>
      <c r="S27" s="190" t="s">
        <v>68</v>
      </c>
      <c r="T27" s="76" t="s">
        <v>224</v>
      </c>
      <c r="U27" s="191" t="s">
        <v>56</v>
      </c>
    </row>
    <row r="28" ht="66" spans="1:21">
      <c r="A28" s="12" t="s">
        <v>225</v>
      </c>
      <c r="B28" s="74" t="s">
        <v>226</v>
      </c>
      <c r="C28" s="76" t="s">
        <v>227</v>
      </c>
      <c r="D28" s="34" t="s">
        <v>228</v>
      </c>
      <c r="E28" s="55" t="s">
        <v>25</v>
      </c>
      <c r="F28" s="113"/>
      <c r="G28" s="113"/>
      <c r="H28" s="113"/>
      <c r="I28" s="89"/>
      <c r="J28" s="55"/>
      <c r="K28" s="91"/>
      <c r="L28" s="96" t="s">
        <v>229</v>
      </c>
      <c r="M28" s="68" t="s">
        <v>31</v>
      </c>
      <c r="N28" s="91" t="s">
        <v>32</v>
      </c>
      <c r="O28" s="113" t="s">
        <v>230</v>
      </c>
      <c r="P28" s="76" t="s">
        <v>34</v>
      </c>
      <c r="Q28" s="91" t="s">
        <v>35</v>
      </c>
      <c r="R28" s="91" t="s">
        <v>35</v>
      </c>
      <c r="S28" s="91" t="s">
        <v>36</v>
      </c>
      <c r="T28" s="76" t="s">
        <v>231</v>
      </c>
      <c r="U28" s="191" t="s">
        <v>56</v>
      </c>
    </row>
    <row r="29" ht="26.1" customHeight="1" spans="1:21">
      <c r="A29" s="13"/>
      <c r="B29" s="175"/>
      <c r="C29" s="12"/>
      <c r="D29" s="68"/>
      <c r="E29" s="97"/>
      <c r="F29" s="13"/>
      <c r="G29" s="13"/>
      <c r="H29" s="13"/>
      <c r="I29" s="181"/>
      <c r="J29" s="82"/>
      <c r="K29" s="182"/>
      <c r="L29" s="17"/>
      <c r="M29" s="68"/>
      <c r="N29" s="12"/>
      <c r="O29" s="12"/>
      <c r="P29" s="6"/>
      <c r="Q29" s="13"/>
      <c r="R29" s="13"/>
      <c r="S29" s="13"/>
      <c r="T29" s="6"/>
      <c r="U29" s="186"/>
    </row>
    <row r="30" ht="24.1" customHeight="1" spans="1:21">
      <c r="A30" s="12"/>
      <c r="B30" s="137"/>
      <c r="C30" s="91"/>
      <c r="D30" s="68"/>
      <c r="E30" s="97"/>
      <c r="F30" s="13"/>
      <c r="G30" s="13"/>
      <c r="H30" s="13"/>
      <c r="I30" s="181"/>
      <c r="J30" s="82"/>
      <c r="L30" s="17"/>
      <c r="M30" s="68"/>
      <c r="N30" s="12"/>
      <c r="O30" s="12"/>
      <c r="P30" s="6"/>
      <c r="Q30" s="13"/>
      <c r="R30" s="13"/>
      <c r="S30" s="13"/>
      <c r="T30" s="6"/>
      <c r="U30" s="186"/>
    </row>
    <row r="31" ht="16.5" spans="1:21">
      <c r="A31" s="13"/>
      <c r="B31" s="104"/>
      <c r="C31" s="13"/>
      <c r="D31" s="13"/>
      <c r="E31" s="13"/>
      <c r="F31" s="13"/>
      <c r="G31" s="13"/>
      <c r="H31" s="13"/>
      <c r="I31" s="13"/>
      <c r="J31" s="13"/>
      <c r="K31" s="13"/>
      <c r="L31" s="17"/>
      <c r="M31" s="97"/>
      <c r="N31" s="13"/>
      <c r="O31" s="13"/>
      <c r="P31" s="104"/>
      <c r="Q31" s="13"/>
      <c r="R31" s="13"/>
      <c r="S31" s="13"/>
      <c r="T31" s="13"/>
      <c r="U31" s="13"/>
    </row>
    <row r="32" s="170" customFormat="1" ht="16.5" spans="2:16">
      <c r="B32" s="176" t="s">
        <v>232</v>
      </c>
      <c r="C32" s="177"/>
      <c r="D32" s="177"/>
      <c r="L32" s="183"/>
      <c r="M32" s="187"/>
      <c r="P32" s="188"/>
    </row>
    <row r="33" ht="16.5" spans="1:21">
      <c r="A33" s="13" t="s">
        <v>233</v>
      </c>
      <c r="B33" s="31"/>
      <c r="C33" s="77" t="s">
        <v>234</v>
      </c>
      <c r="D33" s="12"/>
      <c r="E33" s="68" t="s">
        <v>25</v>
      </c>
      <c r="F33" s="13"/>
      <c r="G33" s="13"/>
      <c r="H33" s="13"/>
      <c r="I33" s="13"/>
      <c r="J33" s="97"/>
      <c r="K33" s="77"/>
      <c r="L33" s="17"/>
      <c r="M33" s="97"/>
      <c r="N33" s="68" t="s">
        <v>150</v>
      </c>
      <c r="O33" s="68" t="s">
        <v>66</v>
      </c>
      <c r="P33" s="68"/>
      <c r="Q33" s="13" t="s">
        <v>35</v>
      </c>
      <c r="R33" s="13" t="s">
        <v>35</v>
      </c>
      <c r="S33" s="190" t="s">
        <v>36</v>
      </c>
      <c r="T33" s="12" t="s">
        <v>235</v>
      </c>
      <c r="U33" s="12"/>
    </row>
    <row r="34" s="171" customFormat="1" ht="16.5" spans="1:22">
      <c r="A34" s="13" t="s">
        <v>233</v>
      </c>
      <c r="B34" s="79"/>
      <c r="C34" s="91" t="s">
        <v>236</v>
      </c>
      <c r="D34" s="68"/>
      <c r="E34" s="97" t="s">
        <v>25</v>
      </c>
      <c r="F34" s="13"/>
      <c r="G34" s="13"/>
      <c r="H34" s="13"/>
      <c r="I34" s="181"/>
      <c r="J34" s="82"/>
      <c r="K34" s="12"/>
      <c r="L34" s="82" t="s">
        <v>64</v>
      </c>
      <c r="M34" s="31"/>
      <c r="N34" s="12" t="s">
        <v>83</v>
      </c>
      <c r="O34" s="12" t="s">
        <v>84</v>
      </c>
      <c r="P34" s="6" t="s">
        <v>237</v>
      </c>
      <c r="Q34" s="13" t="s">
        <v>35</v>
      </c>
      <c r="R34" s="13" t="s">
        <v>35</v>
      </c>
      <c r="S34" s="91" t="s">
        <v>36</v>
      </c>
      <c r="T34" s="6" t="s">
        <v>238</v>
      </c>
      <c r="U34" s="186" t="s">
        <v>38</v>
      </c>
      <c r="V34" s="1"/>
    </row>
    <row r="35" ht="16.5" spans="1:21">
      <c r="A35" s="13" t="s">
        <v>233</v>
      </c>
      <c r="B35" s="31"/>
      <c r="C35" s="135" t="s">
        <v>239</v>
      </c>
      <c r="D35" s="154"/>
      <c r="E35" s="97" t="s">
        <v>25</v>
      </c>
      <c r="F35" s="13"/>
      <c r="G35" s="13"/>
      <c r="H35" s="13"/>
      <c r="I35" s="12" t="s">
        <v>240</v>
      </c>
      <c r="J35" s="77" t="s">
        <v>241</v>
      </c>
      <c r="K35" s="77"/>
      <c r="L35" s="16" t="s">
        <v>230</v>
      </c>
      <c r="M35" s="97"/>
      <c r="N35" s="77" t="s">
        <v>230</v>
      </c>
      <c r="O35" s="77" t="s">
        <v>230</v>
      </c>
      <c r="P35" s="6"/>
      <c r="Q35" s="13" t="s">
        <v>35</v>
      </c>
      <c r="R35" s="13" t="s">
        <v>35</v>
      </c>
      <c r="S35" s="190" t="s">
        <v>36</v>
      </c>
      <c r="T35" s="12"/>
      <c r="U35" s="12"/>
    </row>
    <row r="36" ht="16.5" spans="1:21">
      <c r="A36" s="13" t="s">
        <v>233</v>
      </c>
      <c r="B36" s="79"/>
      <c r="C36" s="91" t="s">
        <v>242</v>
      </c>
      <c r="D36" s="68"/>
      <c r="E36" s="97" t="s">
        <v>25</v>
      </c>
      <c r="F36" s="13"/>
      <c r="G36" s="13"/>
      <c r="H36" s="13"/>
      <c r="I36" s="12" t="s">
        <v>240</v>
      </c>
      <c r="J36" s="77" t="s">
        <v>241</v>
      </c>
      <c r="K36" s="12"/>
      <c r="L36" s="82" t="s">
        <v>243</v>
      </c>
      <c r="M36" s="68"/>
      <c r="N36" s="12" t="s">
        <v>243</v>
      </c>
      <c r="O36" s="12" t="s">
        <v>230</v>
      </c>
      <c r="P36" s="6"/>
      <c r="Q36" s="13" t="s">
        <v>35</v>
      </c>
      <c r="R36" s="12" t="s">
        <v>35</v>
      </c>
      <c r="S36" s="190" t="s">
        <v>141</v>
      </c>
      <c r="T36" s="12" t="s">
        <v>244</v>
      </c>
      <c r="U36" s="6"/>
    </row>
    <row r="37" ht="16.5" spans="1:21">
      <c r="A37" s="13" t="s">
        <v>233</v>
      </c>
      <c r="B37" s="137"/>
      <c r="C37" s="77" t="s">
        <v>245</v>
      </c>
      <c r="D37" s="154"/>
      <c r="E37" s="97" t="s">
        <v>25</v>
      </c>
      <c r="F37" s="13"/>
      <c r="G37" s="13"/>
      <c r="H37" s="13"/>
      <c r="I37" s="12" t="s">
        <v>240</v>
      </c>
      <c r="J37" s="77" t="s">
        <v>241</v>
      </c>
      <c r="K37" s="77"/>
      <c r="L37" s="82" t="s">
        <v>243</v>
      </c>
      <c r="M37" s="68"/>
      <c r="N37" s="12" t="s">
        <v>243</v>
      </c>
      <c r="O37" s="77" t="s">
        <v>246</v>
      </c>
      <c r="P37" s="6"/>
      <c r="Q37" s="13" t="s">
        <v>35</v>
      </c>
      <c r="R37" s="12" t="s">
        <v>35</v>
      </c>
      <c r="S37" s="190" t="s">
        <v>36</v>
      </c>
      <c r="T37" s="12" t="s">
        <v>247</v>
      </c>
      <c r="U37" s="12"/>
    </row>
    <row r="38" ht="16.5" spans="1:21">
      <c r="A38" s="13" t="s">
        <v>233</v>
      </c>
      <c r="B38" s="137"/>
      <c r="C38" s="77" t="s">
        <v>248</v>
      </c>
      <c r="D38" s="154"/>
      <c r="E38" s="97" t="s">
        <v>25</v>
      </c>
      <c r="F38" s="13"/>
      <c r="G38" s="13"/>
      <c r="H38" s="13"/>
      <c r="I38" s="12" t="s">
        <v>240</v>
      </c>
      <c r="J38" s="77" t="s">
        <v>241</v>
      </c>
      <c r="K38" s="77"/>
      <c r="L38" s="82" t="s">
        <v>243</v>
      </c>
      <c r="M38" s="68"/>
      <c r="N38" s="12" t="s">
        <v>243</v>
      </c>
      <c r="O38" s="77" t="s">
        <v>246</v>
      </c>
      <c r="P38" s="6"/>
      <c r="Q38" s="13" t="s">
        <v>35</v>
      </c>
      <c r="R38" s="12" t="s">
        <v>35</v>
      </c>
      <c r="S38" s="190" t="s">
        <v>36</v>
      </c>
      <c r="T38" s="12" t="s">
        <v>249</v>
      </c>
      <c r="U38" s="12"/>
    </row>
    <row r="39" ht="33" spans="1:21">
      <c r="A39" s="13" t="s">
        <v>233</v>
      </c>
      <c r="B39" s="137"/>
      <c r="C39" s="77" t="s">
        <v>250</v>
      </c>
      <c r="D39" s="154"/>
      <c r="E39" s="97" t="s">
        <v>25</v>
      </c>
      <c r="F39" s="13"/>
      <c r="G39" s="13"/>
      <c r="H39" s="13"/>
      <c r="I39" s="12" t="s">
        <v>240</v>
      </c>
      <c r="J39" s="77" t="s">
        <v>251</v>
      </c>
      <c r="K39" s="77"/>
      <c r="L39" s="16" t="s">
        <v>150</v>
      </c>
      <c r="M39" s="97"/>
      <c r="N39" s="77" t="s">
        <v>150</v>
      </c>
      <c r="O39" s="77" t="s">
        <v>96</v>
      </c>
      <c r="P39" s="68" t="s">
        <v>252</v>
      </c>
      <c r="Q39" s="13" t="s">
        <v>35</v>
      </c>
      <c r="R39" s="12" t="s">
        <v>35</v>
      </c>
      <c r="S39" s="91" t="s">
        <v>68</v>
      </c>
      <c r="T39" s="12"/>
      <c r="U39" s="12"/>
    </row>
    <row r="40" s="171" customFormat="1" ht="33" spans="1:22">
      <c r="A40" s="13" t="s">
        <v>233</v>
      </c>
      <c r="B40" s="136"/>
      <c r="C40" s="62" t="s">
        <v>253</v>
      </c>
      <c r="D40" s="69"/>
      <c r="E40" s="135" t="s">
        <v>25</v>
      </c>
      <c r="F40" s="13"/>
      <c r="G40" s="13"/>
      <c r="H40" s="13"/>
      <c r="I40" s="13"/>
      <c r="J40" s="77"/>
      <c r="K40" s="77"/>
      <c r="L40" s="17"/>
      <c r="M40" s="97"/>
      <c r="N40" s="77" t="s">
        <v>52</v>
      </c>
      <c r="O40" s="77" t="s">
        <v>91</v>
      </c>
      <c r="P40" s="6" t="s">
        <v>254</v>
      </c>
      <c r="Q40" s="13" t="s">
        <v>35</v>
      </c>
      <c r="R40" s="12" t="s">
        <v>35</v>
      </c>
      <c r="S40" s="190" t="s">
        <v>68</v>
      </c>
      <c r="T40" s="12" t="s">
        <v>255</v>
      </c>
      <c r="U40" s="191" t="s">
        <v>56</v>
      </c>
      <c r="V40" s="1"/>
    </row>
    <row r="41" ht="33" spans="1:21">
      <c r="A41" s="13" t="s">
        <v>233</v>
      </c>
      <c r="B41" s="137"/>
      <c r="C41" s="77" t="s">
        <v>256</v>
      </c>
      <c r="D41" s="6" t="s">
        <v>257</v>
      </c>
      <c r="E41" s="12"/>
      <c r="F41" s="13"/>
      <c r="G41" s="13"/>
      <c r="H41" s="13"/>
      <c r="I41" s="13"/>
      <c r="J41" s="12"/>
      <c r="K41" s="12"/>
      <c r="L41" s="17"/>
      <c r="M41" s="97"/>
      <c r="N41" s="12" t="s">
        <v>258</v>
      </c>
      <c r="O41" s="12" t="s">
        <v>246</v>
      </c>
      <c r="P41" s="6"/>
      <c r="Q41" s="13" t="s">
        <v>35</v>
      </c>
      <c r="R41" s="12" t="s">
        <v>35</v>
      </c>
      <c r="S41" s="190" t="s">
        <v>36</v>
      </c>
      <c r="T41" s="12" t="s">
        <v>259</v>
      </c>
      <c r="U41" s="12"/>
    </row>
    <row r="42" s="47" customFormat="1" ht="33" spans="1:21">
      <c r="A42" s="139" t="s">
        <v>233</v>
      </c>
      <c r="B42" s="140"/>
      <c r="C42" s="138" t="s">
        <v>260</v>
      </c>
      <c r="D42" s="140" t="s">
        <v>261</v>
      </c>
      <c r="E42" s="138"/>
      <c r="F42" s="139"/>
      <c r="G42" s="139"/>
      <c r="H42" s="139"/>
      <c r="I42" s="139"/>
      <c r="J42" s="139"/>
      <c r="K42" s="138"/>
      <c r="L42" s="195" t="s">
        <v>262</v>
      </c>
      <c r="M42" s="153"/>
      <c r="N42" s="138" t="s">
        <v>263</v>
      </c>
      <c r="O42" s="138" t="s">
        <v>66</v>
      </c>
      <c r="P42" s="140"/>
      <c r="Q42" s="139" t="s">
        <v>35</v>
      </c>
      <c r="R42" s="138" t="s">
        <v>35</v>
      </c>
      <c r="S42" s="138" t="s">
        <v>264</v>
      </c>
      <c r="T42" s="138" t="s">
        <v>265</v>
      </c>
      <c r="U42" s="138"/>
    </row>
    <row r="43" ht="16.5" spans="1:21">
      <c r="A43" s="13" t="s">
        <v>233</v>
      </c>
      <c r="B43" s="104"/>
      <c r="C43" s="12" t="s">
        <v>266</v>
      </c>
      <c r="D43" s="13" t="s">
        <v>267</v>
      </c>
      <c r="E43" s="13"/>
      <c r="F43" s="13"/>
      <c r="G43" s="13"/>
      <c r="H43" s="13"/>
      <c r="I43" s="13"/>
      <c r="J43" s="13"/>
      <c r="K43" s="13"/>
      <c r="L43" s="16" t="s">
        <v>150</v>
      </c>
      <c r="M43" s="97"/>
      <c r="N43" s="77" t="s">
        <v>150</v>
      </c>
      <c r="O43" s="77" t="s">
        <v>96</v>
      </c>
      <c r="P43" s="104"/>
      <c r="Q43" s="13" t="s">
        <v>35</v>
      </c>
      <c r="R43" s="13" t="s">
        <v>35</v>
      </c>
      <c r="S43" s="13" t="s">
        <v>36</v>
      </c>
      <c r="T43" s="12" t="s">
        <v>268</v>
      </c>
      <c r="U43" s="13"/>
    </row>
    <row r="44" ht="16.5" spans="1:21">
      <c r="A44" s="13" t="s">
        <v>233</v>
      </c>
      <c r="B44" s="104"/>
      <c r="C44" s="6" t="s">
        <v>269</v>
      </c>
      <c r="D44" s="6" t="s">
        <v>270</v>
      </c>
      <c r="E44" s="13"/>
      <c r="F44" s="13"/>
      <c r="G44" s="13"/>
      <c r="H44" s="13"/>
      <c r="I44" s="13"/>
      <c r="J44" s="13"/>
      <c r="K44" s="13"/>
      <c r="L44" s="16" t="s">
        <v>150</v>
      </c>
      <c r="M44" s="97"/>
      <c r="N44" s="77" t="s">
        <v>150</v>
      </c>
      <c r="O44" s="68" t="s">
        <v>66</v>
      </c>
      <c r="P44" s="104"/>
      <c r="Q44" s="13" t="s">
        <v>35</v>
      </c>
      <c r="R44" s="13" t="s">
        <v>35</v>
      </c>
      <c r="S44" s="190" t="s">
        <v>36</v>
      </c>
      <c r="T44" s="12" t="s">
        <v>271</v>
      </c>
      <c r="U44" s="13"/>
    </row>
    <row r="45" ht="16.5" spans="1:21">
      <c r="A45" s="13"/>
      <c r="B45" s="104"/>
      <c r="C45" s="13"/>
      <c r="D45" s="13"/>
      <c r="E45" s="13"/>
      <c r="F45" s="13"/>
      <c r="G45" s="13"/>
      <c r="H45" s="13"/>
      <c r="I45" s="13"/>
      <c r="J45" s="13"/>
      <c r="K45" s="13"/>
      <c r="L45" s="17"/>
      <c r="M45" s="97"/>
      <c r="N45" s="13"/>
      <c r="O45" s="13"/>
      <c r="P45" s="104"/>
      <c r="Q45" s="13"/>
      <c r="R45" s="13"/>
      <c r="S45" s="13"/>
      <c r="T45" s="13"/>
      <c r="U45" s="13"/>
    </row>
    <row r="46" ht="16.5" spans="1:21">
      <c r="A46" s="13"/>
      <c r="B46" s="104"/>
      <c r="C46" s="13"/>
      <c r="D46" s="13"/>
      <c r="E46" s="13"/>
      <c r="F46" s="13"/>
      <c r="G46" s="13"/>
      <c r="H46" s="13"/>
      <c r="I46" s="13"/>
      <c r="J46" s="13"/>
      <c r="K46" s="13"/>
      <c r="L46" s="17"/>
      <c r="M46" s="97"/>
      <c r="N46" s="13"/>
      <c r="O46" s="13"/>
      <c r="P46" s="104"/>
      <c r="Q46" s="13"/>
      <c r="R46" s="13"/>
      <c r="S46" s="13"/>
      <c r="T46" s="13"/>
      <c r="U46" s="13"/>
    </row>
    <row r="47" ht="16.5" spans="1:21">
      <c r="A47" s="13"/>
      <c r="B47" s="104"/>
      <c r="C47" s="13"/>
      <c r="D47" s="13"/>
      <c r="E47" s="13"/>
      <c r="F47" s="13"/>
      <c r="G47" s="13"/>
      <c r="H47" s="13"/>
      <c r="I47" s="13"/>
      <c r="J47" s="13"/>
      <c r="K47" s="13"/>
      <c r="L47" s="17"/>
      <c r="M47" s="97"/>
      <c r="N47" s="13"/>
      <c r="O47" s="13"/>
      <c r="P47" s="104"/>
      <c r="Q47" s="13"/>
      <c r="R47" s="13"/>
      <c r="S47" s="13"/>
      <c r="T47" s="13"/>
      <c r="U47" s="13"/>
    </row>
    <row r="48" ht="16.5" spans="1:21">
      <c r="A48" s="13"/>
      <c r="B48" s="104"/>
      <c r="C48" s="13"/>
      <c r="D48" s="13"/>
      <c r="E48" s="13"/>
      <c r="F48" s="13"/>
      <c r="G48" s="13"/>
      <c r="H48" s="13"/>
      <c r="I48" s="13"/>
      <c r="J48" s="13"/>
      <c r="K48" s="13"/>
      <c r="L48" s="17"/>
      <c r="M48" s="97"/>
      <c r="N48" s="13"/>
      <c r="O48" s="13"/>
      <c r="P48" s="104"/>
      <c r="Q48" s="13"/>
      <c r="R48" s="13"/>
      <c r="S48" s="13"/>
      <c r="T48" s="13"/>
      <c r="U48" s="13"/>
    </row>
    <row r="49" ht="16.5" spans="1:21">
      <c r="A49" s="13"/>
      <c r="B49" s="104"/>
      <c r="C49" s="13"/>
      <c r="D49" s="13"/>
      <c r="E49" s="13"/>
      <c r="F49" s="13"/>
      <c r="G49" s="13"/>
      <c r="H49" s="13"/>
      <c r="I49" s="13"/>
      <c r="J49" s="13"/>
      <c r="K49" s="13"/>
      <c r="L49" s="17"/>
      <c r="M49" s="97"/>
      <c r="N49" s="13"/>
      <c r="O49" s="13"/>
      <c r="P49" s="104"/>
      <c r="Q49" s="13"/>
      <c r="R49" s="13"/>
      <c r="S49" s="13"/>
      <c r="T49" s="13"/>
      <c r="U49" s="13"/>
    </row>
    <row r="50" ht="16.5" spans="1:21">
      <c r="A50" s="13"/>
      <c r="B50" s="104"/>
      <c r="C50" s="13"/>
      <c r="D50" s="13"/>
      <c r="E50" s="13"/>
      <c r="F50" s="13"/>
      <c r="G50" s="13"/>
      <c r="H50" s="13"/>
      <c r="I50" s="13"/>
      <c r="J50" s="13"/>
      <c r="K50" s="13"/>
      <c r="L50" s="17"/>
      <c r="M50" s="97"/>
      <c r="N50" s="13"/>
      <c r="O50" s="13"/>
      <c r="P50" s="104"/>
      <c r="Q50" s="13"/>
      <c r="R50" s="13"/>
      <c r="S50" s="13"/>
      <c r="T50" s="13"/>
      <c r="U50" s="13"/>
    </row>
    <row r="51" ht="16.5" spans="1:21">
      <c r="A51" s="13"/>
      <c r="B51" s="104"/>
      <c r="C51" s="13"/>
      <c r="D51" s="13"/>
      <c r="E51" s="13"/>
      <c r="F51" s="13"/>
      <c r="G51" s="13"/>
      <c r="H51" s="13"/>
      <c r="I51" s="13"/>
      <c r="J51" s="13"/>
      <c r="K51" s="13"/>
      <c r="L51" s="17"/>
      <c r="M51" s="97"/>
      <c r="N51" s="13"/>
      <c r="O51" s="13"/>
      <c r="P51" s="104"/>
      <c r="Q51" s="13"/>
      <c r="R51" s="13"/>
      <c r="S51" s="13"/>
      <c r="T51" s="13"/>
      <c r="U51" s="13"/>
    </row>
    <row r="52" ht="16.5" spans="1:21">
      <c r="A52" s="13"/>
      <c r="B52" s="104"/>
      <c r="C52" s="13"/>
      <c r="D52" s="13"/>
      <c r="E52" s="13"/>
      <c r="F52" s="13"/>
      <c r="G52" s="13"/>
      <c r="H52" s="13"/>
      <c r="I52" s="13"/>
      <c r="J52" s="13"/>
      <c r="K52" s="13"/>
      <c r="L52" s="17"/>
      <c r="M52" s="97"/>
      <c r="N52" s="13"/>
      <c r="O52" s="13"/>
      <c r="P52" s="104"/>
      <c r="Q52" s="13"/>
      <c r="R52" s="13"/>
      <c r="S52" s="13"/>
      <c r="T52" s="13"/>
      <c r="U52" s="13"/>
    </row>
    <row r="53" ht="16.5" spans="1:21">
      <c r="A53" s="13"/>
      <c r="B53" s="104"/>
      <c r="C53" s="13"/>
      <c r="D53" s="13"/>
      <c r="E53" s="13"/>
      <c r="F53" s="13"/>
      <c r="G53" s="13"/>
      <c r="H53" s="13"/>
      <c r="I53" s="13"/>
      <c r="J53" s="13"/>
      <c r="K53" s="13"/>
      <c r="L53" s="17"/>
      <c r="M53" s="97"/>
      <c r="N53" s="13"/>
      <c r="O53" s="13"/>
      <c r="P53" s="104"/>
      <c r="Q53" s="13"/>
      <c r="R53" s="13"/>
      <c r="S53" s="13"/>
      <c r="T53" s="13"/>
      <c r="U53" s="13"/>
    </row>
    <row r="54" ht="16.5" spans="1:21">
      <c r="A54" s="13"/>
      <c r="B54" s="104"/>
      <c r="C54" s="13"/>
      <c r="D54" s="13"/>
      <c r="E54" s="13"/>
      <c r="F54" s="13"/>
      <c r="G54" s="13"/>
      <c r="H54" s="13"/>
      <c r="I54" s="13"/>
      <c r="J54" s="13"/>
      <c r="K54" s="13"/>
      <c r="L54" s="17"/>
      <c r="M54" s="97"/>
      <c r="N54" s="13"/>
      <c r="O54" s="13"/>
      <c r="P54" s="104"/>
      <c r="Q54" s="13"/>
      <c r="R54" s="13"/>
      <c r="S54" s="13"/>
      <c r="T54" s="13"/>
      <c r="U54" s="13"/>
    </row>
    <row r="55" ht="16.5" spans="1:21">
      <c r="A55" s="13"/>
      <c r="B55" s="104"/>
      <c r="C55" s="13"/>
      <c r="D55" s="13"/>
      <c r="E55" s="13"/>
      <c r="F55" s="13"/>
      <c r="G55" s="13"/>
      <c r="H55" s="13"/>
      <c r="I55" s="13"/>
      <c r="J55" s="13"/>
      <c r="K55" s="13"/>
      <c r="L55" s="17"/>
      <c r="M55" s="97"/>
      <c r="N55" s="13"/>
      <c r="O55" s="13"/>
      <c r="P55" s="104"/>
      <c r="Q55" s="13"/>
      <c r="R55" s="13"/>
      <c r="S55" s="13"/>
      <c r="T55" s="13"/>
      <c r="U55" s="13"/>
    </row>
    <row r="56" ht="16.5" spans="1:21">
      <c r="A56" s="13"/>
      <c r="B56" s="104"/>
      <c r="C56" s="13"/>
      <c r="D56" s="13"/>
      <c r="E56" s="13"/>
      <c r="F56" s="13"/>
      <c r="G56" s="13"/>
      <c r="H56" s="13"/>
      <c r="I56" s="13"/>
      <c r="J56" s="13"/>
      <c r="K56" s="13"/>
      <c r="L56" s="17"/>
      <c r="M56" s="97"/>
      <c r="N56" s="13"/>
      <c r="O56" s="13"/>
      <c r="P56" s="104"/>
      <c r="Q56" s="13"/>
      <c r="R56" s="13"/>
      <c r="S56" s="13"/>
      <c r="T56" s="13"/>
      <c r="U56" s="13"/>
    </row>
    <row r="57" ht="16.5" spans="1:21">
      <c r="A57" s="13"/>
      <c r="B57" s="104"/>
      <c r="C57" s="13"/>
      <c r="D57" s="13"/>
      <c r="E57" s="13"/>
      <c r="F57" s="13"/>
      <c r="G57" s="13"/>
      <c r="H57" s="13"/>
      <c r="I57" s="13"/>
      <c r="J57" s="13"/>
      <c r="K57" s="13"/>
      <c r="L57" s="17"/>
      <c r="M57" s="97"/>
      <c r="N57" s="13"/>
      <c r="O57" s="13"/>
      <c r="P57" s="104"/>
      <c r="Q57" s="13"/>
      <c r="R57" s="13"/>
      <c r="S57" s="13"/>
      <c r="T57" s="13"/>
      <c r="U57" s="13"/>
    </row>
    <row r="58" ht="16.5" spans="1:21">
      <c r="A58" s="13"/>
      <c r="B58" s="104"/>
      <c r="C58" s="13"/>
      <c r="D58" s="13"/>
      <c r="E58" s="13"/>
      <c r="F58" s="13"/>
      <c r="G58" s="13"/>
      <c r="H58" s="13"/>
      <c r="I58" s="13"/>
      <c r="J58" s="13"/>
      <c r="K58" s="13"/>
      <c r="L58" s="17"/>
      <c r="M58" s="97"/>
      <c r="N58" s="13"/>
      <c r="O58" s="13"/>
      <c r="P58" s="104"/>
      <c r="Q58" s="13"/>
      <c r="R58" s="13"/>
      <c r="S58" s="13"/>
      <c r="T58" s="13"/>
      <c r="U58" s="13"/>
    </row>
    <row r="59" ht="16.5" spans="1:21">
      <c r="A59" s="13"/>
      <c r="B59" s="104"/>
      <c r="C59" s="13"/>
      <c r="D59" s="13"/>
      <c r="E59" s="13"/>
      <c r="F59" s="13"/>
      <c r="G59" s="13"/>
      <c r="H59" s="13"/>
      <c r="I59" s="13"/>
      <c r="J59" s="13"/>
      <c r="K59" s="13"/>
      <c r="L59" s="17"/>
      <c r="M59" s="97"/>
      <c r="N59" s="13"/>
      <c r="O59" s="13"/>
      <c r="P59" s="104"/>
      <c r="Q59" s="13"/>
      <c r="R59" s="13"/>
      <c r="S59" s="13"/>
      <c r="T59" s="13"/>
      <c r="U59" s="13"/>
    </row>
    <row r="60" ht="16.5" spans="1:21">
      <c r="A60" s="13"/>
      <c r="B60" s="104"/>
      <c r="C60" s="13"/>
      <c r="D60" s="13"/>
      <c r="E60" s="13"/>
      <c r="F60" s="13"/>
      <c r="G60" s="13"/>
      <c r="H60" s="13"/>
      <c r="I60" s="13"/>
      <c r="J60" s="13"/>
      <c r="K60" s="13"/>
      <c r="L60" s="17"/>
      <c r="M60" s="97"/>
      <c r="N60" s="13"/>
      <c r="O60" s="13"/>
      <c r="P60" s="104"/>
      <c r="Q60" s="13"/>
      <c r="R60" s="13"/>
      <c r="S60" s="13"/>
      <c r="T60" s="13"/>
      <c r="U60" s="13"/>
    </row>
  </sheetData>
  <sheetProtection password="EB17" sheet="1" formatCells="0" insertHyperlinks="0" autoFilter="0" objects="1"/>
  <autoFilter xmlns:etc="http://www.wps.cn/officeDocument/2017/etCustomData" ref="A1:U60" etc:filterBottomFollowUsedRange="1">
    <extLst/>
  </autoFilter>
  <dataValidations count="7">
    <dataValidation type="list" allowBlank="1" showErrorMessage="1" errorTitle="错误提示" error="请输入下拉列表中的值" id="{5543fad6-de82-49ba-b44f-49595aefac6e}" sqref="Q10:Q31 Q2:R9 Q33:R44" errorStyle="information">
      <formula1>"是,否,待定"</formula1>
    </dataValidation>
    <dataValidation type="list" allowBlank="1" showErrorMessage="1" errorTitle="错误提示" error="请输入下拉列表中的值" id="{5543fad6-de82-49ba-b44f-49595aefac6e}" sqref="S44 S2:S31 S33:S41" errorStyle="information">
      <formula1>"预计0425迭代完成交付,预计0523迭代完成交付,预计0613迭代完成交付,预计0613迭代之后完成交付,本迭代无法启动后续重新排期"</formula1>
    </dataValidation>
    <dataValidation type="list" allowBlank="1" showErrorMessage="1" errorTitle="错误提示" error="请输入下拉列表中的值" id="{5543fad6-de82-49ba-b44f-49595aefac6e}" sqref="A33:A56" errorStyle="information">
      <formula1>"信息技术部"</formula1>
    </dataValidation>
    <dataValidation type="list" allowBlank="1" showErrorMessage="1" errorTitle="错误提示" error="请输入下拉列表中的值" id="{5543fad6-de82-49ba-b44f-49595aefac6e}" sqref="R10:R31" errorStyle="information">
      <formula1>"是,否,沟通中"</formula1>
    </dataValidation>
    <dataValidation type="list" allowBlank="1" showErrorMessage="1" errorTitle="错误提示" error="请输入下拉列表中的值" id="{5543fad6-de82-49ba-b44f-49595aefac6e}" sqref="A2:A31" errorStyle="information">
      <formula1>"固定收益部,香港金控FICC,资金运营部,中央交易室,风险管理部,运营中心"</formula1>
    </dataValidation>
    <dataValidation type="list" allowBlank="1" showErrorMessage="1" errorTitle="错误提示" error="请输入下拉列表中的值" id="{5543fad6-de82-49ba-b44f-49595aefac6e}" sqref="P2:P40" errorStyle="information">
      <formula1>"【Calypso下线项目】美国国国债簿记,【海外交易能力建设】美国国债自营交易链路,【海外交易能力建设】债券做市业务系统建设,【海外交易能力建设】香港外汇期货做市项目,【Calypso下线项目】Tarf簿记,FICC策略平台整合项目,FICC人工智能专项项目,O45迁移项目,FICC交易日历优化项目,FICCUI测试专项,境外本地化部署规划,无"</formula1>
    </dataValidation>
    <dataValidation type="list" allowBlank="1" showErrorMessage="1" errorTitle="错误提示" error="请输入下拉列表中的值" id="{5543fad6-de82-49ba-b44f-49595aefac6e}" sqref="S1 S32 S42:S43 S45:S1048576" errorStyle="information">
      <formula1>"预计0328迭代完成交付,预计0425迭代完成交付,预计0523迭代完成交付,预计0523迭代之后完成交付,本迭代无法启动后续重新排期"</formula1>
    </dataValidation>
  </dataValidations>
  <hyperlinks>
    <hyperlink ref="B5" r:id="rId1" display="FICCHEADS-1180" tooltip="http://jira.htzq.htsc.com.cn/browse/FICCHEADS-1180"/>
    <hyperlink ref="B4" r:id="rId2" display="FICCHEADS-1167" tooltip="http://jira.htzq.htsc.com.cn/browse/FICCHEADS-1167"/>
    <hyperlink ref="B7" r:id="rId3" display="FICCHEADS-1097" tooltip="http://jira.htzq.htsc.com.cn/browse/FICCHEADS-1097"/>
    <hyperlink ref="B8" r:id="rId4" display="FICCHEADS-1136" tooltip="http://jira.htzq.htsc.com.cn/browse/FICCHEADS-1136"/>
    <hyperlink ref="B3" r:id="rId5" display="FICCHEADS-1124" tooltip="http://jira.htzq.htsc.com.cn/browse/FICCHEADS-1124"/>
    <hyperlink ref="B6" r:id="rId6" display="FICCHEADS-873" tooltip="http://jira.htzq.htsc.com.cn/browse/FICCHEADS-873"/>
    <hyperlink ref="B2" r:id="rId7" display="FICCHEADS-1127" tooltip="http://jira.htzq.htsc.com.cn/browse/FICCHEADS-1127"/>
    <hyperlink ref="B9" r:id="rId8" display="FICCHEADS-812"/>
    <hyperlink ref="B19" r:id="rId9" display="FICCHEADS-983" tooltip="http://jira.htzq.htsc.com.cn/browse/FICCHEADS-983"/>
    <hyperlink ref="B15" r:id="rId10" display="FICCHEADS-1110"/>
    <hyperlink ref="B10" r:id="rId11" display="FICCHEADS-1140"/>
    <hyperlink ref="B11" r:id="rId12" display="FICCHEADS-1189"/>
    <hyperlink ref="B12" r:id="rId13" display="FICCHEADS-1194"/>
    <hyperlink ref="B13" r:id="rId14" display="FICCHEADS-1149"/>
    <hyperlink ref="B20" r:id="rId15" display="FICCHEADS-955"/>
    <hyperlink ref="B25" r:id="rId16" display="IT需求申请央20251028572539-1"/>
    <hyperlink ref="B28" r:id="rId17" location="/main/workflow/req?requestid=7032267&amp;_workflowid=12522&amp;f_weaver_belongto_userid=71200&amp;isovertime=0&amp;preloadkey=1766547325376&amp;timestamp=1766547325376&amp;_key=k4e1cq" display="IT需求申请风20250905559247"/>
    <hyperlink ref="B14" r:id="rId18" display="FICCHEADS-1197"/>
    <hyperlink ref="B16" r:id="rId19" display="FICCHEADS-1175"/>
    <hyperlink ref="B17" r:id="rId20" display="FICCHEADS-1192"/>
    <hyperlink ref="B18" r:id="rId21" display="FICCHEADS-1188"/>
    <hyperlink ref="B21" r:id="rId22" display="FICCHEADS-1177"/>
    <hyperlink ref="B22" r:id="rId23" display="FICCHEADS-1202"/>
    <hyperlink ref="B23" r:id="rId24" display="FICCHEADS-1200"/>
    <hyperlink ref="B24" r:id="rId25" display="FICCHEADS-1203"/>
    <hyperlink ref="B26" r:id="rId26" display="IT需求申请资运20251224590060-9"/>
    <hyperlink ref="B27" r:id="rId26" display="IT需求申请资运20251224590060-4"/>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73"/>
  <sheetViews>
    <sheetView tabSelected="1" zoomScale="60" zoomScaleNormal="60" workbookViewId="0">
      <pane xSplit="4" ySplit="2" topLeftCell="V41" activePane="bottomRight" state="frozen"/>
      <selection/>
      <selection pane="topRight"/>
      <selection pane="bottomLeft"/>
      <selection pane="bottomRight" activeCell="B72" sqref="B72:I73"/>
    </sheetView>
  </sheetViews>
  <sheetFormatPr defaultColWidth="9" defaultRowHeight="16.5"/>
  <cols>
    <col min="1" max="1" width="9" style="48"/>
    <col min="2" max="2" width="10.6833333333333" style="48" customWidth="1"/>
    <col min="3" max="3" width="17.125" style="49" customWidth="1"/>
    <col min="4" max="4" width="18.625" style="49" customWidth="1"/>
    <col min="5" max="5" width="14.9" style="49" customWidth="1"/>
    <col min="6" max="6" width="12.875" style="48" customWidth="1"/>
    <col min="7" max="7" width="10.975" style="26" customWidth="1"/>
    <col min="8" max="9" width="11.625" style="48" customWidth="1"/>
    <col min="10" max="10" width="18.1666666666667" style="48" customWidth="1"/>
    <col min="11" max="11" width="16.7083333333333" style="48" customWidth="1"/>
    <col min="12" max="12" width="22.7083333333333" style="1" customWidth="1"/>
    <col min="13" max="13" width="14.7083333333333" style="1" customWidth="1"/>
    <col min="14" max="14" width="47.0666666666667" style="1" customWidth="1"/>
    <col min="15" max="15" width="12.15" style="50" customWidth="1"/>
    <col min="16" max="16" width="22.4333333333333" style="50" customWidth="1"/>
    <col min="17" max="17" width="14.7" style="50" customWidth="1"/>
    <col min="18" max="18" width="9" style="1"/>
    <col min="19" max="19" width="9" style="51"/>
    <col min="20" max="20" width="9" style="1"/>
    <col min="21" max="21" width="9" style="48"/>
    <col min="22" max="22" width="9.71666666666667" style="1" customWidth="1"/>
    <col min="23" max="23" width="15" style="1" customWidth="1"/>
    <col min="24" max="24" width="19.2166666666667" style="1" customWidth="1"/>
    <col min="25" max="16384" width="9" style="1"/>
  </cols>
  <sheetData>
    <row r="1" spans="1:24">
      <c r="A1" s="52" t="s">
        <v>272</v>
      </c>
      <c r="B1" s="52"/>
      <c r="C1" s="52"/>
      <c r="D1" s="52"/>
      <c r="E1" s="52"/>
      <c r="F1" s="52"/>
      <c r="G1" s="80"/>
      <c r="H1" s="52"/>
      <c r="I1" s="52"/>
      <c r="J1" s="98" t="s">
        <v>273</v>
      </c>
      <c r="K1" s="99"/>
      <c r="L1" s="100"/>
      <c r="M1" s="99"/>
      <c r="N1" s="100"/>
      <c r="O1" s="100"/>
      <c r="P1" s="100"/>
      <c r="Q1" s="100"/>
      <c r="R1" s="99"/>
      <c r="S1" s="99"/>
      <c r="T1" s="99"/>
      <c r="U1" s="127"/>
      <c r="V1" s="128" t="s">
        <v>274</v>
      </c>
      <c r="W1" s="129"/>
      <c r="X1" s="130"/>
    </row>
    <row r="2" ht="30" spans="1:24">
      <c r="A2" s="53" t="s">
        <v>275</v>
      </c>
      <c r="B2" s="54" t="s">
        <v>0</v>
      </c>
      <c r="C2" s="54" t="s">
        <v>1</v>
      </c>
      <c r="D2" s="54" t="s">
        <v>276</v>
      </c>
      <c r="E2" s="54" t="s">
        <v>8</v>
      </c>
      <c r="F2" s="54" t="s">
        <v>277</v>
      </c>
      <c r="G2" s="81" t="s">
        <v>10</v>
      </c>
      <c r="H2" s="54" t="s">
        <v>278</v>
      </c>
      <c r="I2" s="54" t="s">
        <v>279</v>
      </c>
      <c r="J2" s="101" t="s">
        <v>280</v>
      </c>
      <c r="K2" s="102" t="s">
        <v>281</v>
      </c>
      <c r="L2" s="103" t="s">
        <v>282</v>
      </c>
      <c r="M2" s="115" t="s">
        <v>12</v>
      </c>
      <c r="N2" s="103" t="s">
        <v>283</v>
      </c>
      <c r="O2" s="103" t="s">
        <v>284</v>
      </c>
      <c r="P2" s="116" t="s">
        <v>285</v>
      </c>
      <c r="Q2" s="103" t="s">
        <v>286</v>
      </c>
      <c r="R2" s="119" t="s">
        <v>287</v>
      </c>
      <c r="S2" s="120" t="s">
        <v>288</v>
      </c>
      <c r="T2" s="119" t="s">
        <v>289</v>
      </c>
      <c r="U2" s="131" t="s">
        <v>290</v>
      </c>
      <c r="V2" s="132" t="s">
        <v>291</v>
      </c>
      <c r="W2" s="132" t="s">
        <v>292</v>
      </c>
      <c r="X2" s="132" t="s">
        <v>293</v>
      </c>
    </row>
    <row r="3" ht="82.5" spans="1:24">
      <c r="A3" s="55" t="s">
        <v>25</v>
      </c>
      <c r="B3" s="12" t="s">
        <v>21</v>
      </c>
      <c r="C3" s="56" t="s">
        <v>22</v>
      </c>
      <c r="D3" s="34" t="s">
        <v>23</v>
      </c>
      <c r="E3" s="55" t="s">
        <v>29</v>
      </c>
      <c r="F3" s="55"/>
      <c r="G3" s="82" t="s">
        <v>30</v>
      </c>
      <c r="H3" s="83" t="s">
        <v>32</v>
      </c>
      <c r="I3" s="61" t="s">
        <v>33</v>
      </c>
      <c r="J3" s="104" t="s">
        <v>294</v>
      </c>
      <c r="K3" s="83" t="s">
        <v>32</v>
      </c>
      <c r="L3" s="31" t="s">
        <v>295</v>
      </c>
      <c r="M3" s="68" t="s">
        <v>31</v>
      </c>
      <c r="N3" s="6" t="s">
        <v>296</v>
      </c>
      <c r="O3" s="6" t="s">
        <v>297</v>
      </c>
      <c r="P3" s="6" t="s">
        <v>298</v>
      </c>
      <c r="Q3" s="74" t="s">
        <v>299</v>
      </c>
      <c r="R3" s="12"/>
      <c r="S3" s="32" t="s">
        <v>35</v>
      </c>
      <c r="T3" s="12" t="s">
        <v>35</v>
      </c>
      <c r="U3" s="77" t="s">
        <v>300</v>
      </c>
      <c r="V3" s="12"/>
      <c r="W3" s="6"/>
      <c r="X3" s="6"/>
    </row>
    <row r="4" ht="82.5" spans="1:24">
      <c r="A4" s="55" t="s">
        <v>25</v>
      </c>
      <c r="B4" s="12" t="s">
        <v>21</v>
      </c>
      <c r="C4" s="56" t="s">
        <v>39</v>
      </c>
      <c r="D4" s="34" t="s">
        <v>40</v>
      </c>
      <c r="E4" s="55" t="s">
        <v>29</v>
      </c>
      <c r="F4" s="55"/>
      <c r="G4" s="82" t="s">
        <v>30</v>
      </c>
      <c r="H4" s="83" t="s">
        <v>32</v>
      </c>
      <c r="I4" s="61" t="s">
        <v>33</v>
      </c>
      <c r="J4" s="104" t="s">
        <v>294</v>
      </c>
      <c r="K4" s="83" t="s">
        <v>32</v>
      </c>
      <c r="L4" s="31" t="s">
        <v>295</v>
      </c>
      <c r="M4" s="68" t="s">
        <v>31</v>
      </c>
      <c r="N4" s="6" t="s">
        <v>43</v>
      </c>
      <c r="O4" s="6" t="s">
        <v>301</v>
      </c>
      <c r="P4" s="6" t="s">
        <v>302</v>
      </c>
      <c r="Q4" s="74" t="s">
        <v>303</v>
      </c>
      <c r="R4" s="12"/>
      <c r="S4" s="32" t="s">
        <v>35</v>
      </c>
      <c r="T4" s="12" t="s">
        <v>35</v>
      </c>
      <c r="U4" s="77" t="s">
        <v>300</v>
      </c>
      <c r="V4" s="12"/>
      <c r="W4" s="104"/>
      <c r="X4" s="6"/>
    </row>
    <row r="5" ht="82.5" spans="1:24">
      <c r="A5" s="57" t="s">
        <v>47</v>
      </c>
      <c r="B5" s="57" t="s">
        <v>44</v>
      </c>
      <c r="C5" s="57" t="s">
        <v>45</v>
      </c>
      <c r="D5" s="57" t="s">
        <v>46</v>
      </c>
      <c r="E5" s="57" t="s">
        <v>29</v>
      </c>
      <c r="F5" s="57" t="s">
        <v>50</v>
      </c>
      <c r="G5" s="57" t="s">
        <v>51</v>
      </c>
      <c r="H5" s="57" t="s">
        <v>52</v>
      </c>
      <c r="I5" s="57" t="s">
        <v>53</v>
      </c>
      <c r="J5" s="105" t="s">
        <v>294</v>
      </c>
      <c r="K5" s="12" t="s">
        <v>258</v>
      </c>
      <c r="L5" s="31" t="s">
        <v>304</v>
      </c>
      <c r="M5" s="68" t="s">
        <v>31</v>
      </c>
      <c r="N5" s="6" t="s">
        <v>305</v>
      </c>
      <c r="O5" s="6" t="s">
        <v>306</v>
      </c>
      <c r="P5" s="6" t="s">
        <v>307</v>
      </c>
      <c r="Q5" s="74" t="s">
        <v>308</v>
      </c>
      <c r="R5" s="12"/>
      <c r="S5" s="32"/>
      <c r="T5" s="12"/>
      <c r="U5" s="133"/>
      <c r="V5" s="12"/>
      <c r="W5" s="104"/>
      <c r="X5" s="6"/>
    </row>
    <row r="6" ht="162.55" customHeight="1" spans="1:24">
      <c r="A6" s="58"/>
      <c r="B6" s="58"/>
      <c r="C6" s="58"/>
      <c r="D6" s="58"/>
      <c r="E6" s="58"/>
      <c r="F6" s="58"/>
      <c r="G6" s="58"/>
      <c r="H6" s="58"/>
      <c r="I6" s="58"/>
      <c r="J6" s="106" t="s">
        <v>309</v>
      </c>
      <c r="K6" s="77" t="s">
        <v>52</v>
      </c>
      <c r="L6" s="107" t="s">
        <v>304</v>
      </c>
      <c r="M6" s="68" t="s">
        <v>31</v>
      </c>
      <c r="N6" s="6" t="s">
        <v>310</v>
      </c>
      <c r="O6" s="34" t="s">
        <v>311</v>
      </c>
      <c r="P6" s="34" t="s">
        <v>312</v>
      </c>
      <c r="Q6" s="121"/>
      <c r="R6" s="122"/>
      <c r="S6" s="123" t="s">
        <v>35</v>
      </c>
      <c r="T6" s="32" t="s">
        <v>35</v>
      </c>
      <c r="U6" s="134" t="s">
        <v>313</v>
      </c>
      <c r="V6" s="12"/>
      <c r="W6" s="6"/>
      <c r="X6" s="104"/>
    </row>
    <row r="7" ht="84" customHeight="1" spans="1:24">
      <c r="A7" s="58"/>
      <c r="B7" s="58"/>
      <c r="C7" s="58"/>
      <c r="D7" s="58"/>
      <c r="E7" s="58"/>
      <c r="F7" s="58"/>
      <c r="G7" s="58"/>
      <c r="H7" s="58"/>
      <c r="I7" s="58"/>
      <c r="J7" s="108" t="s">
        <v>314</v>
      </c>
      <c r="K7" s="77" t="s">
        <v>243</v>
      </c>
      <c r="L7" s="107" t="s">
        <v>315</v>
      </c>
      <c r="M7" s="68" t="s">
        <v>31</v>
      </c>
      <c r="N7" s="6" t="s">
        <v>316</v>
      </c>
      <c r="O7" s="34" t="s">
        <v>317</v>
      </c>
      <c r="P7" s="34" t="s">
        <v>318</v>
      </c>
      <c r="Q7" s="121" t="s">
        <v>319</v>
      </c>
      <c r="R7" s="122"/>
      <c r="S7" s="123" t="s">
        <v>35</v>
      </c>
      <c r="T7" s="32" t="s">
        <v>35</v>
      </c>
      <c r="U7" s="77" t="s">
        <v>320</v>
      </c>
      <c r="V7" s="12" t="s">
        <v>321</v>
      </c>
      <c r="W7" s="6"/>
      <c r="X7" s="104"/>
    </row>
    <row r="8" ht="84" customHeight="1" spans="1:24">
      <c r="A8" s="58"/>
      <c r="B8" s="58"/>
      <c r="C8" s="59"/>
      <c r="D8" s="58"/>
      <c r="E8" s="58"/>
      <c r="F8" s="58"/>
      <c r="G8" s="58"/>
      <c r="H8" s="58"/>
      <c r="I8" s="58"/>
      <c r="J8" s="108" t="s">
        <v>322</v>
      </c>
      <c r="K8" s="77" t="s">
        <v>263</v>
      </c>
      <c r="L8" s="107" t="s">
        <v>34</v>
      </c>
      <c r="M8" s="68" t="s">
        <v>31</v>
      </c>
      <c r="N8" s="6" t="s">
        <v>323</v>
      </c>
      <c r="O8" s="34" t="s">
        <v>324</v>
      </c>
      <c r="P8" s="34" t="s">
        <v>325</v>
      </c>
      <c r="Q8" s="121" t="s">
        <v>326</v>
      </c>
      <c r="R8" s="122"/>
      <c r="S8" s="123" t="s">
        <v>35</v>
      </c>
      <c r="T8" s="32" t="s">
        <v>35</v>
      </c>
      <c r="U8" s="134" t="s">
        <v>320</v>
      </c>
      <c r="V8" s="12"/>
      <c r="W8" s="6"/>
      <c r="X8" s="104"/>
    </row>
    <row r="9" ht="84" customHeight="1" spans="1:24">
      <c r="A9" s="57" t="s">
        <v>47</v>
      </c>
      <c r="B9" s="20" t="s">
        <v>44</v>
      </c>
      <c r="C9" s="60" t="s">
        <v>57</v>
      </c>
      <c r="D9" s="57" t="s">
        <v>58</v>
      </c>
      <c r="E9" s="57" t="s">
        <v>62</v>
      </c>
      <c r="F9" s="69" t="s">
        <v>63</v>
      </c>
      <c r="G9" s="69" t="s">
        <v>64</v>
      </c>
      <c r="H9" s="84" t="s">
        <v>65</v>
      </c>
      <c r="I9" s="84" t="s">
        <v>66</v>
      </c>
      <c r="J9" s="97" t="s">
        <v>314</v>
      </c>
      <c r="K9" s="77" t="s">
        <v>65</v>
      </c>
      <c r="L9" s="107" t="s">
        <v>304</v>
      </c>
      <c r="M9" s="68" t="s">
        <v>31</v>
      </c>
      <c r="N9" s="6" t="s">
        <v>327</v>
      </c>
      <c r="O9" s="34" t="s">
        <v>328</v>
      </c>
      <c r="P9" s="34" t="s">
        <v>329</v>
      </c>
      <c r="Q9" s="121" t="s">
        <v>330</v>
      </c>
      <c r="R9" s="122"/>
      <c r="S9" s="123" t="s">
        <v>35</v>
      </c>
      <c r="T9" s="32" t="s">
        <v>35</v>
      </c>
      <c r="U9" s="134" t="s">
        <v>331</v>
      </c>
      <c r="V9" s="12"/>
      <c r="W9" s="6"/>
      <c r="X9" s="104"/>
    </row>
    <row r="10" ht="82.5" spans="1:24">
      <c r="A10" s="58"/>
      <c r="B10" s="22"/>
      <c r="C10" s="60"/>
      <c r="D10" s="58"/>
      <c r="E10" s="58"/>
      <c r="F10" s="85"/>
      <c r="G10" s="85"/>
      <c r="H10" s="86"/>
      <c r="I10" s="109"/>
      <c r="J10" s="13" t="s">
        <v>322</v>
      </c>
      <c r="K10" s="83" t="s">
        <v>332</v>
      </c>
      <c r="L10" s="107" t="s">
        <v>304</v>
      </c>
      <c r="M10" s="68" t="s">
        <v>31</v>
      </c>
      <c r="N10" s="6" t="s">
        <v>333</v>
      </c>
      <c r="O10" s="34" t="s">
        <v>334</v>
      </c>
      <c r="P10" s="34" t="s">
        <v>335</v>
      </c>
      <c r="Q10" s="74" t="s">
        <v>336</v>
      </c>
      <c r="R10" s="122"/>
      <c r="S10" s="123" t="s">
        <v>35</v>
      </c>
      <c r="T10" s="32" t="s">
        <v>35</v>
      </c>
      <c r="U10" s="77" t="s">
        <v>300</v>
      </c>
      <c r="V10" s="12"/>
      <c r="W10" s="6"/>
      <c r="X10" s="104"/>
    </row>
    <row r="11" ht="33" spans="1:24">
      <c r="A11" s="57" t="s">
        <v>25</v>
      </c>
      <c r="B11" s="20" t="s">
        <v>21</v>
      </c>
      <c r="C11" s="60" t="s">
        <v>71</v>
      </c>
      <c r="D11" s="57" t="s">
        <v>72</v>
      </c>
      <c r="E11" s="57" t="s">
        <v>29</v>
      </c>
      <c r="F11" s="57"/>
      <c r="G11" s="69" t="s">
        <v>30</v>
      </c>
      <c r="H11" s="87" t="s">
        <v>32</v>
      </c>
      <c r="I11" s="61" t="s">
        <v>33</v>
      </c>
      <c r="J11" s="13" t="s">
        <v>294</v>
      </c>
      <c r="K11" s="83" t="s">
        <v>32</v>
      </c>
      <c r="L11" s="107" t="s">
        <v>337</v>
      </c>
      <c r="M11" s="68" t="s">
        <v>31</v>
      </c>
      <c r="N11" s="6" t="s">
        <v>74</v>
      </c>
      <c r="O11" s="34" t="s">
        <v>338</v>
      </c>
      <c r="P11" s="34" t="s">
        <v>339</v>
      </c>
      <c r="Q11" s="124" t="s">
        <v>340</v>
      </c>
      <c r="R11" s="122"/>
      <c r="S11" s="123" t="s">
        <v>35</v>
      </c>
      <c r="T11" s="32" t="s">
        <v>35</v>
      </c>
      <c r="U11" s="77" t="s">
        <v>300</v>
      </c>
      <c r="V11" s="12"/>
      <c r="W11" s="6"/>
      <c r="X11" s="104"/>
    </row>
    <row r="12" ht="33" spans="1:24">
      <c r="A12" s="59"/>
      <c r="B12" s="24"/>
      <c r="C12" s="60"/>
      <c r="D12" s="59"/>
      <c r="E12" s="59"/>
      <c r="F12" s="59"/>
      <c r="G12" s="72"/>
      <c r="H12" s="88"/>
      <c r="I12" s="87" t="s">
        <v>321</v>
      </c>
      <c r="J12" s="104" t="s">
        <v>314</v>
      </c>
      <c r="K12" s="83" t="s">
        <v>32</v>
      </c>
      <c r="L12" s="31" t="s">
        <v>337</v>
      </c>
      <c r="M12" s="68" t="s">
        <v>31</v>
      </c>
      <c r="N12" s="6" t="s">
        <v>341</v>
      </c>
      <c r="O12" s="34" t="s">
        <v>342</v>
      </c>
      <c r="P12" s="6" t="s">
        <v>343</v>
      </c>
      <c r="Q12" s="124"/>
      <c r="R12" s="122"/>
      <c r="S12" s="123" t="s">
        <v>35</v>
      </c>
      <c r="T12" s="32" t="s">
        <v>35</v>
      </c>
      <c r="U12" s="77" t="s">
        <v>300</v>
      </c>
      <c r="V12" s="12" t="s">
        <v>321</v>
      </c>
      <c r="W12" s="6"/>
      <c r="X12" s="6"/>
    </row>
    <row r="13" ht="23.25" customHeight="1" spans="1:24">
      <c r="A13" s="55" t="s">
        <v>25</v>
      </c>
      <c r="B13" s="12" t="s">
        <v>21</v>
      </c>
      <c r="C13" s="56" t="s">
        <v>76</v>
      </c>
      <c r="D13" s="34" t="s">
        <v>77</v>
      </c>
      <c r="E13" s="55" t="s">
        <v>81</v>
      </c>
      <c r="F13" s="68" t="s">
        <v>82</v>
      </c>
      <c r="G13" s="17" t="s">
        <v>64</v>
      </c>
      <c r="H13" s="87" t="s">
        <v>83</v>
      </c>
      <c r="I13" s="87" t="s">
        <v>84</v>
      </c>
      <c r="J13" s="104"/>
      <c r="K13" s="6"/>
      <c r="L13" s="31"/>
      <c r="M13" s="68" t="s">
        <v>31</v>
      </c>
      <c r="N13" s="6" t="s">
        <v>85</v>
      </c>
      <c r="O13" s="34"/>
      <c r="P13" s="6"/>
      <c r="Q13" s="74"/>
      <c r="R13" s="122"/>
      <c r="S13" s="32"/>
      <c r="T13" s="32"/>
      <c r="U13" s="134"/>
      <c r="V13" s="12"/>
      <c r="W13" s="6"/>
      <c r="X13" s="6"/>
    </row>
    <row r="14" ht="82.5" spans="1:24">
      <c r="A14" s="55" t="s">
        <v>25</v>
      </c>
      <c r="B14" s="12" t="s">
        <v>21</v>
      </c>
      <c r="C14" s="56" t="s">
        <v>86</v>
      </c>
      <c r="D14" s="34" t="s">
        <v>87</v>
      </c>
      <c r="E14" s="68" t="s">
        <v>81</v>
      </c>
      <c r="F14" s="68" t="s">
        <v>82</v>
      </c>
      <c r="G14" s="17" t="s">
        <v>64</v>
      </c>
      <c r="H14" s="61" t="s">
        <v>52</v>
      </c>
      <c r="I14" s="61" t="s">
        <v>91</v>
      </c>
      <c r="J14" s="110" t="s">
        <v>309</v>
      </c>
      <c r="K14" s="8" t="s">
        <v>52</v>
      </c>
      <c r="L14" s="31" t="s">
        <v>344</v>
      </c>
      <c r="M14" s="68" t="s">
        <v>31</v>
      </c>
      <c r="N14" s="6" t="s">
        <v>92</v>
      </c>
      <c r="O14" s="34" t="s">
        <v>345</v>
      </c>
      <c r="P14" s="6" t="s">
        <v>346</v>
      </c>
      <c r="Q14" s="74" t="s">
        <v>347</v>
      </c>
      <c r="R14" s="122"/>
      <c r="S14" s="32" t="s">
        <v>35</v>
      </c>
      <c r="T14" s="12" t="s">
        <v>35</v>
      </c>
      <c r="U14" s="134" t="s">
        <v>313</v>
      </c>
      <c r="V14" s="12"/>
      <c r="W14" s="6"/>
      <c r="X14" s="6"/>
    </row>
    <row r="15" ht="82.5" spans="1:24">
      <c r="A15" s="61" t="s">
        <v>25</v>
      </c>
      <c r="B15" s="12" t="s">
        <v>21</v>
      </c>
      <c r="C15" s="56" t="s">
        <v>93</v>
      </c>
      <c r="D15" s="34" t="s">
        <v>94</v>
      </c>
      <c r="E15" s="89" t="s">
        <v>81</v>
      </c>
      <c r="F15" s="68" t="s">
        <v>82</v>
      </c>
      <c r="G15" s="82" t="s">
        <v>64</v>
      </c>
      <c r="H15" s="83" t="s">
        <v>52</v>
      </c>
      <c r="I15" s="61" t="s">
        <v>96</v>
      </c>
      <c r="J15" s="110" t="s">
        <v>309</v>
      </c>
      <c r="K15" s="8" t="s">
        <v>52</v>
      </c>
      <c r="L15" s="31" t="s">
        <v>344</v>
      </c>
      <c r="M15" s="55" t="s">
        <v>31</v>
      </c>
      <c r="N15" s="6" t="s">
        <v>97</v>
      </c>
      <c r="O15" s="6" t="s">
        <v>348</v>
      </c>
      <c r="P15" s="6" t="s">
        <v>349</v>
      </c>
      <c r="Q15" s="74" t="s">
        <v>350</v>
      </c>
      <c r="R15" s="12"/>
      <c r="S15" s="32" t="s">
        <v>35</v>
      </c>
      <c r="T15" s="12" t="s">
        <v>35</v>
      </c>
      <c r="U15" s="134" t="s">
        <v>351</v>
      </c>
      <c r="V15" s="12"/>
      <c r="W15" s="104"/>
      <c r="X15" s="6"/>
    </row>
    <row r="16" ht="82.5" spans="1:24">
      <c r="A16" s="62" t="s">
        <v>25</v>
      </c>
      <c r="B16" s="62" t="s">
        <v>21</v>
      </c>
      <c r="C16" s="63" t="s">
        <v>98</v>
      </c>
      <c r="D16" s="62" t="s">
        <v>99</v>
      </c>
      <c r="E16" s="62" t="s">
        <v>103</v>
      </c>
      <c r="F16" s="62" t="s">
        <v>104</v>
      </c>
      <c r="G16" s="62" t="s">
        <v>105</v>
      </c>
      <c r="H16" s="62" t="s">
        <v>83</v>
      </c>
      <c r="I16" s="62" t="s">
        <v>84</v>
      </c>
      <c r="J16" s="110" t="s">
        <v>314</v>
      </c>
      <c r="K16" s="8" t="s">
        <v>83</v>
      </c>
      <c r="L16" s="31" t="s">
        <v>304</v>
      </c>
      <c r="M16" s="55" t="s">
        <v>31</v>
      </c>
      <c r="N16" s="76" t="s">
        <v>352</v>
      </c>
      <c r="O16" s="6" t="s">
        <v>353</v>
      </c>
      <c r="P16" s="6" t="s">
        <v>354</v>
      </c>
      <c r="Q16" s="74" t="s">
        <v>355</v>
      </c>
      <c r="R16" s="12"/>
      <c r="S16" s="32" t="s">
        <v>35</v>
      </c>
      <c r="T16" s="12" t="s">
        <v>35</v>
      </c>
      <c r="U16" s="134" t="s">
        <v>356</v>
      </c>
      <c r="V16" s="12" t="s">
        <v>357</v>
      </c>
      <c r="W16" s="104"/>
      <c r="X16" s="6"/>
    </row>
    <row r="17" ht="82.5" spans="1:24">
      <c r="A17" s="64"/>
      <c r="B17" s="64"/>
      <c r="C17" s="63"/>
      <c r="D17" s="64"/>
      <c r="E17" s="64"/>
      <c r="F17" s="64"/>
      <c r="G17" s="64"/>
      <c r="H17" s="64"/>
      <c r="I17" s="64"/>
      <c r="J17" s="110" t="s">
        <v>309</v>
      </c>
      <c r="K17" s="8" t="s">
        <v>52</v>
      </c>
      <c r="L17" s="31" t="s">
        <v>344</v>
      </c>
      <c r="M17" s="55" t="s">
        <v>31</v>
      </c>
      <c r="N17" s="76" t="s">
        <v>358</v>
      </c>
      <c r="O17" s="6" t="s">
        <v>359</v>
      </c>
      <c r="P17" s="6" t="s">
        <v>360</v>
      </c>
      <c r="Q17" s="74" t="s">
        <v>361</v>
      </c>
      <c r="R17" s="12"/>
      <c r="S17" s="32" t="s">
        <v>151</v>
      </c>
      <c r="T17" s="12" t="s">
        <v>35</v>
      </c>
      <c r="U17" s="134" t="s">
        <v>362</v>
      </c>
      <c r="V17" s="12"/>
      <c r="W17" s="104"/>
      <c r="X17" s="6"/>
    </row>
    <row r="18" ht="82.5" spans="1:24">
      <c r="A18" s="64"/>
      <c r="B18" s="64"/>
      <c r="C18" s="63"/>
      <c r="D18" s="64"/>
      <c r="E18" s="64"/>
      <c r="F18" s="64"/>
      <c r="G18" s="64"/>
      <c r="H18" s="64"/>
      <c r="I18" s="64"/>
      <c r="J18" s="104" t="s">
        <v>322</v>
      </c>
      <c r="K18" s="6" t="s">
        <v>150</v>
      </c>
      <c r="L18" s="31" t="s">
        <v>363</v>
      </c>
      <c r="M18" s="55" t="s">
        <v>31</v>
      </c>
      <c r="N18" s="76" t="s">
        <v>364</v>
      </c>
      <c r="O18" s="6" t="s">
        <v>365</v>
      </c>
      <c r="P18" s="6" t="s">
        <v>366</v>
      </c>
      <c r="Q18" s="74" t="s">
        <v>367</v>
      </c>
      <c r="R18" s="12"/>
      <c r="S18" s="32" t="s">
        <v>35</v>
      </c>
      <c r="T18" s="12" t="s">
        <v>35</v>
      </c>
      <c r="U18" s="77" t="s">
        <v>320</v>
      </c>
      <c r="V18" s="12" t="s">
        <v>368</v>
      </c>
      <c r="W18" s="6"/>
      <c r="X18" s="6"/>
    </row>
    <row r="19" ht="33" spans="1:24">
      <c r="A19" s="62" t="s">
        <v>47</v>
      </c>
      <c r="B19" s="65" t="s">
        <v>44</v>
      </c>
      <c r="C19" s="66" t="s">
        <v>108</v>
      </c>
      <c r="D19" s="31" t="s">
        <v>109</v>
      </c>
      <c r="E19" s="90" t="s">
        <v>62</v>
      </c>
      <c r="F19" s="82" t="s">
        <v>112</v>
      </c>
      <c r="G19" s="82" t="s">
        <v>105</v>
      </c>
      <c r="H19" s="91" t="s">
        <v>65</v>
      </c>
      <c r="I19" s="91" t="s">
        <v>84</v>
      </c>
      <c r="J19" s="104" t="s">
        <v>314</v>
      </c>
      <c r="K19" s="6" t="s">
        <v>369</v>
      </c>
      <c r="L19" s="31" t="s">
        <v>304</v>
      </c>
      <c r="M19" s="55" t="s">
        <v>31</v>
      </c>
      <c r="N19" s="76" t="s">
        <v>113</v>
      </c>
      <c r="O19" s="6"/>
      <c r="P19" s="6"/>
      <c r="Q19" s="74"/>
      <c r="R19" s="12"/>
      <c r="S19" s="32" t="s">
        <v>151</v>
      </c>
      <c r="T19" s="12" t="s">
        <v>151</v>
      </c>
      <c r="U19" s="134"/>
      <c r="V19" s="12" t="s">
        <v>321</v>
      </c>
      <c r="W19" s="6"/>
      <c r="X19" s="6"/>
    </row>
    <row r="20" ht="82.5" spans="1:24">
      <c r="A20" s="62" t="s">
        <v>47</v>
      </c>
      <c r="B20" s="62" t="s">
        <v>44</v>
      </c>
      <c r="C20" s="66" t="s">
        <v>114</v>
      </c>
      <c r="D20" s="62" t="s">
        <v>115</v>
      </c>
      <c r="E20" s="62" t="s">
        <v>62</v>
      </c>
      <c r="F20" s="62" t="s">
        <v>118</v>
      </c>
      <c r="G20" s="62" t="s">
        <v>64</v>
      </c>
      <c r="H20" s="62" t="s">
        <v>65</v>
      </c>
      <c r="I20" s="62" t="s">
        <v>84</v>
      </c>
      <c r="J20" s="104" t="s">
        <v>314</v>
      </c>
      <c r="K20" s="12" t="s">
        <v>370</v>
      </c>
      <c r="L20" s="31" t="s">
        <v>304</v>
      </c>
      <c r="M20" s="55" t="s">
        <v>31</v>
      </c>
      <c r="N20" s="76" t="s">
        <v>371</v>
      </c>
      <c r="O20" s="6" t="s">
        <v>372</v>
      </c>
      <c r="P20" s="6" t="s">
        <v>373</v>
      </c>
      <c r="Q20" s="124" t="s">
        <v>374</v>
      </c>
      <c r="R20" s="12"/>
      <c r="S20" s="32" t="s">
        <v>35</v>
      </c>
      <c r="T20" s="12" t="s">
        <v>35</v>
      </c>
      <c r="U20" s="77" t="s">
        <v>320</v>
      </c>
      <c r="V20" s="12" t="s">
        <v>357</v>
      </c>
      <c r="W20" s="104"/>
      <c r="X20" s="6"/>
    </row>
    <row r="21" ht="82.5" spans="1:24">
      <c r="A21" s="67"/>
      <c r="B21" s="67"/>
      <c r="C21" s="66"/>
      <c r="D21" s="67"/>
      <c r="E21" s="67"/>
      <c r="F21" s="67"/>
      <c r="G21" s="67"/>
      <c r="H21" s="67"/>
      <c r="I21" s="67"/>
      <c r="J21" s="97" t="s">
        <v>322</v>
      </c>
      <c r="K21" s="77" t="s">
        <v>150</v>
      </c>
      <c r="L21" s="111" t="s">
        <v>34</v>
      </c>
      <c r="M21" s="55" t="s">
        <v>31</v>
      </c>
      <c r="N21" s="76" t="s">
        <v>375</v>
      </c>
      <c r="O21" s="6" t="s">
        <v>376</v>
      </c>
      <c r="P21" s="6" t="s">
        <v>377</v>
      </c>
      <c r="Q21" s="124" t="s">
        <v>378</v>
      </c>
      <c r="R21" s="12"/>
      <c r="S21" s="32" t="s">
        <v>35</v>
      </c>
      <c r="T21" s="12" t="s">
        <v>35</v>
      </c>
      <c r="U21" s="77" t="s">
        <v>320</v>
      </c>
      <c r="V21" s="12"/>
      <c r="W21" s="104"/>
      <c r="X21" s="6"/>
    </row>
    <row r="22" ht="115.5" spans="1:24">
      <c r="A22" s="68" t="s">
        <v>25</v>
      </c>
      <c r="B22" s="65" t="s">
        <v>21</v>
      </c>
      <c r="C22" s="66" t="s">
        <v>119</v>
      </c>
      <c r="D22" s="31" t="s">
        <v>120</v>
      </c>
      <c r="E22" s="90" t="s">
        <v>29</v>
      </c>
      <c r="F22" s="82" t="s">
        <v>123</v>
      </c>
      <c r="G22" s="82" t="s">
        <v>30</v>
      </c>
      <c r="H22" s="91" t="s">
        <v>32</v>
      </c>
      <c r="I22" s="91" t="s">
        <v>33</v>
      </c>
      <c r="J22" s="97" t="s">
        <v>294</v>
      </c>
      <c r="K22" s="83" t="s">
        <v>32</v>
      </c>
      <c r="L22" s="111" t="s">
        <v>295</v>
      </c>
      <c r="M22" s="55" t="s">
        <v>31</v>
      </c>
      <c r="N22" s="76" t="s">
        <v>379</v>
      </c>
      <c r="O22" s="6" t="s">
        <v>380</v>
      </c>
      <c r="P22" s="6" t="s">
        <v>381</v>
      </c>
      <c r="Q22" s="124" t="s">
        <v>382</v>
      </c>
      <c r="R22" s="12"/>
      <c r="S22" s="123" t="s">
        <v>35</v>
      </c>
      <c r="T22" s="32" t="s">
        <v>35</v>
      </c>
      <c r="U22" s="77" t="s">
        <v>351</v>
      </c>
      <c r="V22" s="12"/>
      <c r="W22" s="104"/>
      <c r="X22" s="6"/>
    </row>
    <row r="23" ht="49.5" spans="1:24">
      <c r="A23" s="68" t="s">
        <v>25</v>
      </c>
      <c r="B23" s="65" t="s">
        <v>21</v>
      </c>
      <c r="C23" s="66" t="s">
        <v>125</v>
      </c>
      <c r="D23" s="31" t="s">
        <v>126</v>
      </c>
      <c r="E23" s="90" t="s">
        <v>130</v>
      </c>
      <c r="F23" s="82" t="s">
        <v>131</v>
      </c>
      <c r="G23" s="82" t="s">
        <v>105</v>
      </c>
      <c r="H23" s="12" t="s">
        <v>132</v>
      </c>
      <c r="I23" s="12" t="s">
        <v>84</v>
      </c>
      <c r="J23" s="104" t="s">
        <v>314</v>
      </c>
      <c r="K23" s="91" t="s">
        <v>132</v>
      </c>
      <c r="L23" s="31" t="s">
        <v>383</v>
      </c>
      <c r="M23" s="55" t="s">
        <v>31</v>
      </c>
      <c r="N23" s="76" t="s">
        <v>133</v>
      </c>
      <c r="O23" s="6" t="s">
        <v>384</v>
      </c>
      <c r="P23" s="6" t="s">
        <v>385</v>
      </c>
      <c r="Q23" s="74" t="s">
        <v>386</v>
      </c>
      <c r="R23" s="12"/>
      <c r="S23" s="32" t="s">
        <v>35</v>
      </c>
      <c r="T23" s="12" t="s">
        <v>35</v>
      </c>
      <c r="U23" s="134" t="s">
        <v>356</v>
      </c>
      <c r="V23" s="12" t="s">
        <v>357</v>
      </c>
      <c r="W23" s="104"/>
      <c r="X23" s="6"/>
    </row>
    <row r="24" ht="82.5" spans="1:24">
      <c r="A24" s="69" t="s">
        <v>25</v>
      </c>
      <c r="B24" s="70" t="s">
        <v>21</v>
      </c>
      <c r="C24" s="71" t="s">
        <v>135</v>
      </c>
      <c r="D24" s="69" t="s">
        <v>136</v>
      </c>
      <c r="E24" s="92" t="s">
        <v>103</v>
      </c>
      <c r="F24" s="69" t="s">
        <v>139</v>
      </c>
      <c r="G24" s="69" t="s">
        <v>64</v>
      </c>
      <c r="H24" s="93" t="s">
        <v>83</v>
      </c>
      <c r="I24" s="20" t="s">
        <v>91</v>
      </c>
      <c r="J24" s="110" t="s">
        <v>309</v>
      </c>
      <c r="K24" s="77" t="s">
        <v>83</v>
      </c>
      <c r="L24" s="31" t="s">
        <v>344</v>
      </c>
      <c r="M24" s="117" t="s">
        <v>140</v>
      </c>
      <c r="N24" s="76" t="s">
        <v>387</v>
      </c>
      <c r="O24" s="6" t="s">
        <v>388</v>
      </c>
      <c r="P24" s="6" t="s">
        <v>389</v>
      </c>
      <c r="Q24" s="74" t="s">
        <v>390</v>
      </c>
      <c r="R24" s="12"/>
      <c r="S24" s="32" t="s">
        <v>151</v>
      </c>
      <c r="T24" s="32" t="s">
        <v>151</v>
      </c>
      <c r="U24" s="133" t="s">
        <v>391</v>
      </c>
      <c r="V24" s="12" t="s">
        <v>392</v>
      </c>
      <c r="W24" s="6"/>
      <c r="X24" s="6"/>
    </row>
    <row r="25" ht="82.5" spans="1:24">
      <c r="A25" s="72"/>
      <c r="B25" s="73"/>
      <c r="C25" s="71"/>
      <c r="D25" s="72"/>
      <c r="E25" s="94"/>
      <c r="F25" s="72"/>
      <c r="G25" s="72"/>
      <c r="H25" s="95"/>
      <c r="I25" s="24"/>
      <c r="J25" s="104" t="s">
        <v>393</v>
      </c>
      <c r="K25" s="77" t="s">
        <v>83</v>
      </c>
      <c r="L25" s="31" t="s">
        <v>344</v>
      </c>
      <c r="M25" s="117" t="s">
        <v>140</v>
      </c>
      <c r="N25" s="76" t="s">
        <v>394</v>
      </c>
      <c r="O25" s="6" t="s">
        <v>395</v>
      </c>
      <c r="P25" s="6" t="s">
        <v>396</v>
      </c>
      <c r="Q25" s="74" t="s">
        <v>390</v>
      </c>
      <c r="R25" s="12"/>
      <c r="S25" s="32" t="s">
        <v>151</v>
      </c>
      <c r="T25" s="32" t="s">
        <v>151</v>
      </c>
      <c r="U25" s="133" t="s">
        <v>391</v>
      </c>
      <c r="V25" s="6" t="s">
        <v>397</v>
      </c>
      <c r="W25" s="6"/>
      <c r="X25" s="6"/>
    </row>
    <row r="26" ht="82.5" spans="1:24">
      <c r="A26" s="31" t="s">
        <v>25</v>
      </c>
      <c r="B26" s="65" t="s">
        <v>21</v>
      </c>
      <c r="C26" s="66" t="s">
        <v>197</v>
      </c>
      <c r="D26" s="31" t="s">
        <v>198</v>
      </c>
      <c r="E26" s="31" t="s">
        <v>202</v>
      </c>
      <c r="F26" s="31" t="s">
        <v>203</v>
      </c>
      <c r="G26" s="82" t="s">
        <v>148</v>
      </c>
      <c r="H26" s="91" t="s">
        <v>150</v>
      </c>
      <c r="I26" s="61" t="s">
        <v>96</v>
      </c>
      <c r="J26" s="104" t="s">
        <v>398</v>
      </c>
      <c r="K26" s="12" t="s">
        <v>150</v>
      </c>
      <c r="L26" s="31" t="s">
        <v>304</v>
      </c>
      <c r="M26" s="118" t="s">
        <v>202</v>
      </c>
      <c r="N26" s="76" t="s">
        <v>204</v>
      </c>
      <c r="O26" s="6" t="s">
        <v>399</v>
      </c>
      <c r="P26" s="6" t="s">
        <v>400</v>
      </c>
      <c r="Q26" s="74" t="s">
        <v>401</v>
      </c>
      <c r="R26" s="12"/>
      <c r="S26" s="32" t="s">
        <v>35</v>
      </c>
      <c r="T26" s="12" t="s">
        <v>35</v>
      </c>
      <c r="U26" s="77" t="s">
        <v>320</v>
      </c>
      <c r="V26" s="6"/>
      <c r="W26" s="6"/>
      <c r="X26" s="6"/>
    </row>
    <row r="27" ht="49.5" spans="1:24">
      <c r="A27" s="55" t="s">
        <v>25</v>
      </c>
      <c r="B27" s="65" t="s">
        <v>205</v>
      </c>
      <c r="C27" s="74" t="s">
        <v>206</v>
      </c>
      <c r="D27" s="12" t="s">
        <v>207</v>
      </c>
      <c r="E27" s="89"/>
      <c r="F27" s="55"/>
      <c r="G27" s="82" t="s">
        <v>211</v>
      </c>
      <c r="H27" s="12" t="s">
        <v>132</v>
      </c>
      <c r="I27" s="12" t="s">
        <v>84</v>
      </c>
      <c r="J27" s="104" t="s">
        <v>314</v>
      </c>
      <c r="K27" s="91" t="s">
        <v>132</v>
      </c>
      <c r="L27" s="31" t="s">
        <v>304</v>
      </c>
      <c r="M27" s="68" t="s">
        <v>31</v>
      </c>
      <c r="N27" s="76" t="s">
        <v>212</v>
      </c>
      <c r="O27" s="6" t="s">
        <v>402</v>
      </c>
      <c r="P27" s="6" t="s">
        <v>403</v>
      </c>
      <c r="Q27" s="125" t="s">
        <v>404</v>
      </c>
      <c r="R27" s="12"/>
      <c r="S27" s="32" t="s">
        <v>151</v>
      </c>
      <c r="T27" s="32" t="s">
        <v>151</v>
      </c>
      <c r="U27" s="133" t="s">
        <v>405</v>
      </c>
      <c r="V27" s="12" t="s">
        <v>321</v>
      </c>
      <c r="W27" s="6"/>
      <c r="X27" s="6"/>
    </row>
    <row r="28" s="46" customFormat="1" ht="49.5" spans="1:24">
      <c r="A28" s="55" t="s">
        <v>25</v>
      </c>
      <c r="B28" s="13" t="s">
        <v>213</v>
      </c>
      <c r="C28" s="74" t="s">
        <v>214</v>
      </c>
      <c r="D28" s="75" t="s">
        <v>215</v>
      </c>
      <c r="E28" s="89"/>
      <c r="F28" s="55"/>
      <c r="G28" s="82" t="s">
        <v>219</v>
      </c>
      <c r="H28" s="12" t="s">
        <v>132</v>
      </c>
      <c r="I28" s="12" t="s">
        <v>84</v>
      </c>
      <c r="J28" s="112" t="s">
        <v>314</v>
      </c>
      <c r="K28" s="91" t="s">
        <v>132</v>
      </c>
      <c r="L28" s="34" t="s">
        <v>304</v>
      </c>
      <c r="M28" s="68" t="s">
        <v>31</v>
      </c>
      <c r="N28" s="76" t="s">
        <v>220</v>
      </c>
      <c r="O28" s="41" t="s">
        <v>406</v>
      </c>
      <c r="P28" s="6" t="s">
        <v>407</v>
      </c>
      <c r="Q28" s="125" t="s">
        <v>408</v>
      </c>
      <c r="R28" s="91"/>
      <c r="S28" s="32" t="s">
        <v>151</v>
      </c>
      <c r="T28" s="32" t="s">
        <v>151</v>
      </c>
      <c r="U28" s="133" t="s">
        <v>409</v>
      </c>
      <c r="V28" s="91" t="s">
        <v>410</v>
      </c>
      <c r="W28" s="76"/>
      <c r="X28" s="76"/>
    </row>
    <row r="29" customFormat="1" ht="82.5" spans="1:24">
      <c r="A29" s="55" t="s">
        <v>25</v>
      </c>
      <c r="B29" s="13" t="s">
        <v>213</v>
      </c>
      <c r="C29" s="74" t="s">
        <v>221</v>
      </c>
      <c r="D29" s="75" t="s">
        <v>222</v>
      </c>
      <c r="E29" s="89"/>
      <c r="F29" s="55"/>
      <c r="G29" s="82" t="s">
        <v>219</v>
      </c>
      <c r="H29" s="68" t="s">
        <v>52</v>
      </c>
      <c r="I29" s="12" t="s">
        <v>91</v>
      </c>
      <c r="J29" s="68" t="s">
        <v>309</v>
      </c>
      <c r="K29" s="12" t="s">
        <v>52</v>
      </c>
      <c r="L29" s="31" t="s">
        <v>344</v>
      </c>
      <c r="M29" s="68" t="s">
        <v>31</v>
      </c>
      <c r="N29" s="76" t="s">
        <v>224</v>
      </c>
      <c r="O29" s="6" t="s">
        <v>411</v>
      </c>
      <c r="P29" s="6" t="s">
        <v>412</v>
      </c>
      <c r="Q29" s="126" t="s">
        <v>413</v>
      </c>
      <c r="R29" s="13"/>
      <c r="S29" s="32" t="s">
        <v>151</v>
      </c>
      <c r="T29" s="12" t="s">
        <v>151</v>
      </c>
      <c r="U29" s="134"/>
      <c r="V29" s="12"/>
      <c r="W29" s="104"/>
      <c r="X29" s="6"/>
    </row>
    <row r="30" customFormat="1" ht="66" spans="1:24">
      <c r="A30" s="55" t="s">
        <v>25</v>
      </c>
      <c r="B30" s="12" t="s">
        <v>225</v>
      </c>
      <c r="C30" s="74" t="s">
        <v>226</v>
      </c>
      <c r="D30" s="76" t="s">
        <v>227</v>
      </c>
      <c r="E30" s="89"/>
      <c r="F30" s="55"/>
      <c r="G30" s="96" t="s">
        <v>229</v>
      </c>
      <c r="H30" s="78" t="s">
        <v>32</v>
      </c>
      <c r="I30" s="113" t="s">
        <v>230</v>
      </c>
      <c r="J30" s="78" t="s">
        <v>322</v>
      </c>
      <c r="K30" s="83" t="s">
        <v>32</v>
      </c>
      <c r="L30" s="31" t="s">
        <v>34</v>
      </c>
      <c r="M30" s="68" t="s">
        <v>31</v>
      </c>
      <c r="N30" s="76" t="s">
        <v>231</v>
      </c>
      <c r="O30" s="6" t="s">
        <v>414</v>
      </c>
      <c r="P30" s="6" t="s">
        <v>415</v>
      </c>
      <c r="Q30" s="126"/>
      <c r="R30" s="13"/>
      <c r="S30" s="123" t="s">
        <v>35</v>
      </c>
      <c r="T30" s="32" t="s">
        <v>35</v>
      </c>
      <c r="U30" s="77" t="s">
        <v>320</v>
      </c>
      <c r="V30" s="12"/>
      <c r="W30" s="104"/>
      <c r="X30" s="6"/>
    </row>
    <row r="31" ht="82.5" spans="1:24">
      <c r="A31" s="68" t="s">
        <v>25</v>
      </c>
      <c r="B31" s="13" t="s">
        <v>233</v>
      </c>
      <c r="C31" s="31" t="s">
        <v>416</v>
      </c>
      <c r="D31" s="77" t="s">
        <v>234</v>
      </c>
      <c r="E31" s="13"/>
      <c r="F31" s="97"/>
      <c r="G31" s="68" t="s">
        <v>150</v>
      </c>
      <c r="H31" s="68" t="s">
        <v>150</v>
      </c>
      <c r="I31" s="68" t="s">
        <v>66</v>
      </c>
      <c r="J31" s="114" t="s">
        <v>322</v>
      </c>
      <c r="K31" s="77" t="s">
        <v>150</v>
      </c>
      <c r="L31" s="31" t="s">
        <v>34</v>
      </c>
      <c r="M31" s="97"/>
      <c r="N31" s="6" t="s">
        <v>235</v>
      </c>
      <c r="O31" s="6" t="s">
        <v>417</v>
      </c>
      <c r="P31" s="6" t="s">
        <v>418</v>
      </c>
      <c r="Q31" s="74" t="s">
        <v>419</v>
      </c>
      <c r="R31" s="13"/>
      <c r="S31" s="32" t="s">
        <v>35</v>
      </c>
      <c r="T31" s="12" t="s">
        <v>35</v>
      </c>
      <c r="U31" s="134" t="s">
        <v>351</v>
      </c>
      <c r="V31" s="12"/>
      <c r="W31" s="6"/>
      <c r="X31" s="6"/>
    </row>
    <row r="32" ht="82.5" spans="1:24">
      <c r="A32" s="78" t="s">
        <v>25</v>
      </c>
      <c r="B32" s="78" t="s">
        <v>233</v>
      </c>
      <c r="C32" s="79"/>
      <c r="D32" s="78" t="s">
        <v>236</v>
      </c>
      <c r="E32" s="97"/>
      <c r="F32" s="82"/>
      <c r="G32" s="78" t="s">
        <v>64</v>
      </c>
      <c r="H32" s="78" t="s">
        <v>83</v>
      </c>
      <c r="I32" s="78" t="s">
        <v>84</v>
      </c>
      <c r="J32" s="68" t="s">
        <v>314</v>
      </c>
      <c r="K32" s="12" t="s">
        <v>83</v>
      </c>
      <c r="L32" s="31" t="s">
        <v>304</v>
      </c>
      <c r="M32" s="31"/>
      <c r="N32" s="6" t="s">
        <v>238</v>
      </c>
      <c r="O32" s="6" t="s">
        <v>420</v>
      </c>
      <c r="P32" s="6" t="s">
        <v>421</v>
      </c>
      <c r="Q32" s="74" t="s">
        <v>422</v>
      </c>
      <c r="R32" s="13"/>
      <c r="S32" s="32" t="s">
        <v>35</v>
      </c>
      <c r="T32" s="12" t="s">
        <v>35</v>
      </c>
      <c r="U32" s="77" t="s">
        <v>351</v>
      </c>
      <c r="V32" s="12" t="s">
        <v>423</v>
      </c>
      <c r="W32" s="104"/>
      <c r="X32" s="6"/>
    </row>
    <row r="33" ht="49.5" spans="1:24">
      <c r="A33" s="108"/>
      <c r="B33" s="108"/>
      <c r="C33" s="31"/>
      <c r="D33" s="108"/>
      <c r="E33" s="97"/>
      <c r="F33" s="77"/>
      <c r="G33" s="108"/>
      <c r="H33" s="108"/>
      <c r="I33" s="108"/>
      <c r="J33" s="78" t="s">
        <v>322</v>
      </c>
      <c r="K33" s="77" t="s">
        <v>150</v>
      </c>
      <c r="L33" s="31" t="s">
        <v>304</v>
      </c>
      <c r="M33" s="97"/>
      <c r="N33" s="6" t="s">
        <v>424</v>
      </c>
      <c r="O33" s="6" t="s">
        <v>425</v>
      </c>
      <c r="P33" s="6" t="s">
        <v>426</v>
      </c>
      <c r="Q33" s="74"/>
      <c r="R33" s="122"/>
      <c r="S33" s="32"/>
      <c r="T33" s="12"/>
      <c r="U33" s="77" t="s">
        <v>391</v>
      </c>
      <c r="V33" s="12"/>
      <c r="W33" s="104"/>
      <c r="X33" s="6"/>
    </row>
    <row r="34" spans="1:24">
      <c r="A34" s="97" t="s">
        <v>25</v>
      </c>
      <c r="B34" s="13" t="s">
        <v>233</v>
      </c>
      <c r="C34" s="31"/>
      <c r="D34" s="135" t="s">
        <v>239</v>
      </c>
      <c r="E34" s="12" t="s">
        <v>240</v>
      </c>
      <c r="F34" s="77" t="s">
        <v>241</v>
      </c>
      <c r="G34" s="16" t="s">
        <v>230</v>
      </c>
      <c r="H34" s="77" t="s">
        <v>230</v>
      </c>
      <c r="I34" s="77" t="s">
        <v>230</v>
      </c>
      <c r="J34" s="114"/>
      <c r="K34" s="77"/>
      <c r="L34" s="31"/>
      <c r="M34" s="97"/>
      <c r="N34" s="12"/>
      <c r="O34" s="6"/>
      <c r="P34" s="6"/>
      <c r="Q34" s="74"/>
      <c r="R34" s="122"/>
      <c r="S34" s="32"/>
      <c r="T34" s="12"/>
      <c r="U34" s="134"/>
      <c r="V34" s="12"/>
      <c r="W34" s="104"/>
      <c r="X34" s="6"/>
    </row>
    <row r="35" ht="33" spans="1:24">
      <c r="A35" s="135" t="s">
        <v>25</v>
      </c>
      <c r="B35" s="13" t="s">
        <v>233</v>
      </c>
      <c r="C35" s="136"/>
      <c r="D35" s="62" t="s">
        <v>253</v>
      </c>
      <c r="E35" s="13"/>
      <c r="F35" s="77"/>
      <c r="G35" s="17"/>
      <c r="H35" s="77" t="s">
        <v>172</v>
      </c>
      <c r="I35" s="77" t="s">
        <v>91</v>
      </c>
      <c r="J35" s="148"/>
      <c r="K35" s="135"/>
      <c r="L35" s="149"/>
      <c r="M35" s="97"/>
      <c r="N35" s="12" t="s">
        <v>255</v>
      </c>
      <c r="O35" s="6" t="s">
        <v>427</v>
      </c>
      <c r="P35" s="6" t="s">
        <v>428</v>
      </c>
      <c r="Q35" s="157"/>
      <c r="R35" s="158"/>
      <c r="S35" s="123" t="s">
        <v>35</v>
      </c>
      <c r="T35" s="32" t="s">
        <v>35</v>
      </c>
      <c r="U35" s="77" t="s">
        <v>320</v>
      </c>
      <c r="V35" s="12"/>
      <c r="W35" s="6"/>
      <c r="X35" s="104"/>
    </row>
    <row r="36" ht="82.5" spans="1:24">
      <c r="A36" s="12" t="s">
        <v>47</v>
      </c>
      <c r="B36" s="13" t="s">
        <v>233</v>
      </c>
      <c r="C36" s="137"/>
      <c r="D36" s="77" t="s">
        <v>256</v>
      </c>
      <c r="E36" s="13"/>
      <c r="F36" s="82" t="s">
        <v>118</v>
      </c>
      <c r="G36" s="16" t="s">
        <v>262</v>
      </c>
      <c r="H36" s="12" t="s">
        <v>258</v>
      </c>
      <c r="I36" s="12" t="s">
        <v>246</v>
      </c>
      <c r="J36" s="114" t="s">
        <v>314</v>
      </c>
      <c r="K36" s="77" t="s">
        <v>258</v>
      </c>
      <c r="L36" s="150" t="s">
        <v>304</v>
      </c>
      <c r="M36" s="97"/>
      <c r="N36" s="12" t="s">
        <v>259</v>
      </c>
      <c r="O36" s="6" t="s">
        <v>429</v>
      </c>
      <c r="P36" s="6" t="s">
        <v>430</v>
      </c>
      <c r="Q36" s="124" t="s">
        <v>431</v>
      </c>
      <c r="R36" s="13"/>
      <c r="S36" s="32" t="s">
        <v>35</v>
      </c>
      <c r="T36" s="12" t="s">
        <v>35</v>
      </c>
      <c r="U36" s="77" t="s">
        <v>320</v>
      </c>
      <c r="V36" s="12" t="s">
        <v>321</v>
      </c>
      <c r="W36" s="6"/>
      <c r="X36" s="104"/>
    </row>
    <row r="37" s="47" customFormat="1" ht="82.5" spans="1:24">
      <c r="A37" s="138" t="s">
        <v>47</v>
      </c>
      <c r="B37" s="139" t="s">
        <v>233</v>
      </c>
      <c r="C37" s="140" t="s">
        <v>416</v>
      </c>
      <c r="D37" s="138" t="s">
        <v>260</v>
      </c>
      <c r="E37" s="139"/>
      <c r="F37" s="138" t="s">
        <v>118</v>
      </c>
      <c r="G37" s="145" t="s">
        <v>262</v>
      </c>
      <c r="H37" s="138" t="s">
        <v>263</v>
      </c>
      <c r="I37" s="138" t="s">
        <v>66</v>
      </c>
      <c r="J37" s="151" t="s">
        <v>322</v>
      </c>
      <c r="K37" s="138" t="s">
        <v>263</v>
      </c>
      <c r="L37" s="152" t="s">
        <v>34</v>
      </c>
      <c r="M37" s="153"/>
      <c r="N37" s="140" t="s">
        <v>265</v>
      </c>
      <c r="O37" s="140" t="s">
        <v>432</v>
      </c>
      <c r="P37" s="140" t="s">
        <v>433</v>
      </c>
      <c r="Q37" s="159" t="s">
        <v>434</v>
      </c>
      <c r="R37" s="139"/>
      <c r="S37" s="160" t="s">
        <v>151</v>
      </c>
      <c r="T37" s="138" t="s">
        <v>151</v>
      </c>
      <c r="U37" s="163" t="s">
        <v>362</v>
      </c>
      <c r="V37" s="138"/>
      <c r="W37" s="164"/>
      <c r="X37" s="6" t="s">
        <v>435</v>
      </c>
    </row>
    <row r="38" ht="49.5" spans="1:24">
      <c r="A38" s="12" t="s">
        <v>25</v>
      </c>
      <c r="B38" s="13" t="s">
        <v>233</v>
      </c>
      <c r="C38" s="6" t="s">
        <v>416</v>
      </c>
      <c r="D38" s="12" t="s">
        <v>266</v>
      </c>
      <c r="E38" s="13"/>
      <c r="F38" s="13"/>
      <c r="G38" s="77" t="s">
        <v>150</v>
      </c>
      <c r="H38" s="77" t="s">
        <v>150</v>
      </c>
      <c r="I38" s="77" t="s">
        <v>96</v>
      </c>
      <c r="J38" s="114" t="s">
        <v>398</v>
      </c>
      <c r="K38" s="77" t="s">
        <v>150</v>
      </c>
      <c r="L38" s="31" t="s">
        <v>304</v>
      </c>
      <c r="M38" s="97"/>
      <c r="N38" s="6" t="s">
        <v>268</v>
      </c>
      <c r="O38" s="6" t="s">
        <v>436</v>
      </c>
      <c r="P38" s="6" t="s">
        <v>437</v>
      </c>
      <c r="Q38" s="74"/>
      <c r="R38" s="13"/>
      <c r="S38" s="32" t="s">
        <v>35</v>
      </c>
      <c r="T38" s="12" t="s">
        <v>35</v>
      </c>
      <c r="U38" s="77" t="s">
        <v>320</v>
      </c>
      <c r="V38" s="12"/>
      <c r="W38" s="6"/>
      <c r="X38" s="104"/>
    </row>
    <row r="39" ht="82.5" spans="1:24">
      <c r="A39" s="12" t="s">
        <v>25</v>
      </c>
      <c r="B39" s="13" t="s">
        <v>233</v>
      </c>
      <c r="C39" s="6" t="s">
        <v>416</v>
      </c>
      <c r="D39" s="6" t="s">
        <v>438</v>
      </c>
      <c r="E39" s="13"/>
      <c r="F39" s="13"/>
      <c r="G39" s="77" t="s">
        <v>439</v>
      </c>
      <c r="H39" s="77" t="s">
        <v>150</v>
      </c>
      <c r="I39" s="68" t="s">
        <v>66</v>
      </c>
      <c r="J39" s="114" t="s">
        <v>322</v>
      </c>
      <c r="K39" s="77" t="s">
        <v>150</v>
      </c>
      <c r="L39" s="31" t="s">
        <v>295</v>
      </c>
      <c r="M39" s="97"/>
      <c r="N39" s="6" t="s">
        <v>271</v>
      </c>
      <c r="O39" s="6" t="s">
        <v>440</v>
      </c>
      <c r="P39" s="6" t="s">
        <v>441</v>
      </c>
      <c r="Q39" s="74" t="s">
        <v>442</v>
      </c>
      <c r="R39" s="13"/>
      <c r="S39" s="32" t="s">
        <v>35</v>
      </c>
      <c r="T39" s="12" t="s">
        <v>35</v>
      </c>
      <c r="U39" s="77" t="s">
        <v>320</v>
      </c>
      <c r="V39" s="12"/>
      <c r="W39" s="6"/>
      <c r="X39" s="6"/>
    </row>
    <row r="40" ht="82.5" spans="1:24">
      <c r="A40" s="12" t="s">
        <v>25</v>
      </c>
      <c r="B40" s="13" t="s">
        <v>233</v>
      </c>
      <c r="C40" s="6" t="s">
        <v>416</v>
      </c>
      <c r="D40" s="141" t="s">
        <v>443</v>
      </c>
      <c r="E40" s="146"/>
      <c r="F40" s="146"/>
      <c r="G40" s="135" t="s">
        <v>52</v>
      </c>
      <c r="H40" s="77" t="s">
        <v>150</v>
      </c>
      <c r="I40" s="77" t="s">
        <v>96</v>
      </c>
      <c r="J40" s="114" t="s">
        <v>398</v>
      </c>
      <c r="K40" s="77" t="s">
        <v>150</v>
      </c>
      <c r="L40" s="31" t="s">
        <v>34</v>
      </c>
      <c r="M40" s="97"/>
      <c r="N40" s="6" t="s">
        <v>443</v>
      </c>
      <c r="O40" s="6" t="s">
        <v>444</v>
      </c>
      <c r="P40" s="6" t="s">
        <v>445</v>
      </c>
      <c r="Q40" s="74" t="s">
        <v>446</v>
      </c>
      <c r="R40" s="13"/>
      <c r="S40" s="32" t="s">
        <v>35</v>
      </c>
      <c r="T40" s="12" t="s">
        <v>35</v>
      </c>
      <c r="U40" s="77" t="s">
        <v>320</v>
      </c>
      <c r="V40" s="12"/>
      <c r="W40" s="6"/>
      <c r="X40" s="6"/>
    </row>
    <row r="41" ht="82.5" spans="1:24">
      <c r="A41" s="78" t="s">
        <v>25</v>
      </c>
      <c r="B41" s="78" t="s">
        <v>21</v>
      </c>
      <c r="C41" s="78" t="s">
        <v>416</v>
      </c>
      <c r="D41" s="78" t="s">
        <v>447</v>
      </c>
      <c r="E41" s="78" t="s">
        <v>29</v>
      </c>
      <c r="F41" s="78"/>
      <c r="G41" s="78" t="s">
        <v>150</v>
      </c>
      <c r="H41" s="78" t="s">
        <v>150</v>
      </c>
      <c r="I41" s="135" t="s">
        <v>66</v>
      </c>
      <c r="J41" s="8" t="s">
        <v>322</v>
      </c>
      <c r="K41" s="12" t="s">
        <v>150</v>
      </c>
      <c r="L41" s="150" t="s">
        <v>295</v>
      </c>
      <c r="M41" s="155"/>
      <c r="N41" s="6" t="s">
        <v>448</v>
      </c>
      <c r="O41" s="6" t="s">
        <v>449</v>
      </c>
      <c r="P41" s="6" t="s">
        <v>450</v>
      </c>
      <c r="Q41" s="74" t="s">
        <v>451</v>
      </c>
      <c r="R41" s="13"/>
      <c r="S41" s="32" t="s">
        <v>35</v>
      </c>
      <c r="T41" s="12" t="s">
        <v>35</v>
      </c>
      <c r="U41" s="134" t="s">
        <v>300</v>
      </c>
      <c r="V41" s="12" t="s">
        <v>368</v>
      </c>
      <c r="W41" s="12"/>
      <c r="X41" s="13"/>
    </row>
    <row r="42" ht="82.5" spans="1:24">
      <c r="A42" s="108"/>
      <c r="B42" s="108"/>
      <c r="C42" s="108"/>
      <c r="D42" s="108"/>
      <c r="E42" s="108"/>
      <c r="F42" s="108"/>
      <c r="G42" s="108"/>
      <c r="H42" s="108"/>
      <c r="I42" s="108"/>
      <c r="J42" s="97" t="s">
        <v>393</v>
      </c>
      <c r="K42" s="77" t="s">
        <v>243</v>
      </c>
      <c r="L42" s="107" t="s">
        <v>315</v>
      </c>
      <c r="M42" s="82"/>
      <c r="N42" s="6" t="s">
        <v>452</v>
      </c>
      <c r="O42" s="34" t="s">
        <v>453</v>
      </c>
      <c r="P42" s="34" t="s">
        <v>454</v>
      </c>
      <c r="Q42" s="121" t="s">
        <v>455</v>
      </c>
      <c r="R42" s="78"/>
      <c r="S42" s="32" t="s">
        <v>35</v>
      </c>
      <c r="T42" s="12" t="s">
        <v>35</v>
      </c>
      <c r="U42" s="134" t="s">
        <v>351</v>
      </c>
      <c r="V42" s="154"/>
      <c r="W42" s="165"/>
      <c r="X42" s="165"/>
    </row>
    <row r="43" ht="82.5" spans="1:24">
      <c r="A43" s="68" t="s">
        <v>25</v>
      </c>
      <c r="B43" s="12" t="s">
        <v>21</v>
      </c>
      <c r="C43" s="31"/>
      <c r="D43" s="77" t="s">
        <v>247</v>
      </c>
      <c r="E43" s="31"/>
      <c r="F43" s="68" t="s">
        <v>456</v>
      </c>
      <c r="G43" s="82" t="s">
        <v>457</v>
      </c>
      <c r="H43" s="68" t="s">
        <v>243</v>
      </c>
      <c r="I43" s="68" t="s">
        <v>246</v>
      </c>
      <c r="J43" s="97" t="s">
        <v>393</v>
      </c>
      <c r="K43" s="68" t="s">
        <v>243</v>
      </c>
      <c r="L43" s="107" t="s">
        <v>304</v>
      </c>
      <c r="M43" s="82"/>
      <c r="N43" s="6" t="s">
        <v>458</v>
      </c>
      <c r="O43" s="34" t="s">
        <v>459</v>
      </c>
      <c r="P43" s="34" t="s">
        <v>460</v>
      </c>
      <c r="Q43" s="121" t="s">
        <v>461</v>
      </c>
      <c r="R43" s="78"/>
      <c r="S43" s="32" t="s">
        <v>35</v>
      </c>
      <c r="T43" s="12" t="s">
        <v>35</v>
      </c>
      <c r="U43" s="134" t="s">
        <v>320</v>
      </c>
      <c r="V43" s="154"/>
      <c r="W43" s="165"/>
      <c r="X43" s="165"/>
    </row>
    <row r="44" ht="40" customHeight="1" spans="1:24">
      <c r="A44" s="142" t="s">
        <v>25</v>
      </c>
      <c r="B44" s="62" t="s">
        <v>21</v>
      </c>
      <c r="C44" s="62"/>
      <c r="D44" s="62" t="s">
        <v>462</v>
      </c>
      <c r="E44" s="62"/>
      <c r="F44" s="62" t="s">
        <v>456</v>
      </c>
      <c r="G44" s="62"/>
      <c r="H44" s="62" t="s">
        <v>243</v>
      </c>
      <c r="I44" s="62" t="s">
        <v>230</v>
      </c>
      <c r="J44" s="13" t="s">
        <v>393</v>
      </c>
      <c r="K44" s="68" t="s">
        <v>243</v>
      </c>
      <c r="L44" s="62" t="s">
        <v>315</v>
      </c>
      <c r="M44" s="62"/>
      <c r="N44" s="62" t="s">
        <v>463</v>
      </c>
      <c r="O44" s="62" t="s">
        <v>464</v>
      </c>
      <c r="P44" s="62" t="s">
        <v>465</v>
      </c>
      <c r="Q44" s="62" t="s">
        <v>466</v>
      </c>
      <c r="R44" s="62"/>
      <c r="S44" s="62" t="s">
        <v>151</v>
      </c>
      <c r="T44" s="62" t="s">
        <v>151</v>
      </c>
      <c r="U44" s="62" t="s">
        <v>391</v>
      </c>
      <c r="V44" s="62"/>
      <c r="W44" s="62"/>
      <c r="X44" s="62"/>
    </row>
    <row r="45" ht="40" customHeight="1" spans="1:24">
      <c r="A45" s="143"/>
      <c r="B45" s="67"/>
      <c r="C45" s="67"/>
      <c r="D45" s="67"/>
      <c r="E45" s="67"/>
      <c r="F45" s="67"/>
      <c r="G45" s="67"/>
      <c r="H45" s="67"/>
      <c r="I45" s="67"/>
      <c r="J45" s="13" t="s">
        <v>314</v>
      </c>
      <c r="K45" s="68" t="s">
        <v>243</v>
      </c>
      <c r="L45" s="67"/>
      <c r="M45" s="67"/>
      <c r="N45" s="67"/>
      <c r="O45" s="67"/>
      <c r="P45" s="67"/>
      <c r="Q45" s="67"/>
      <c r="R45" s="67"/>
      <c r="S45" s="67"/>
      <c r="T45" s="67"/>
      <c r="U45" s="67"/>
      <c r="V45" s="67"/>
      <c r="W45" s="67"/>
      <c r="X45" s="67"/>
    </row>
    <row r="46" ht="82.5" spans="1:24">
      <c r="A46" s="68" t="s">
        <v>25</v>
      </c>
      <c r="B46" s="12" t="s">
        <v>21</v>
      </c>
      <c r="C46" s="31"/>
      <c r="D46" s="77" t="s">
        <v>467</v>
      </c>
      <c r="E46" s="13"/>
      <c r="F46" s="68" t="s">
        <v>456</v>
      </c>
      <c r="G46" s="16" t="s">
        <v>468</v>
      </c>
      <c r="H46" s="68" t="s">
        <v>243</v>
      </c>
      <c r="I46" s="68" t="s">
        <v>230</v>
      </c>
      <c r="J46" s="13" t="s">
        <v>393</v>
      </c>
      <c r="K46" s="68" t="s">
        <v>243</v>
      </c>
      <c r="L46" s="32" t="s">
        <v>315</v>
      </c>
      <c r="M46" s="82"/>
      <c r="N46" s="62" t="s">
        <v>469</v>
      </c>
      <c r="O46" s="6" t="s">
        <v>470</v>
      </c>
      <c r="P46" s="6" t="s">
        <v>471</v>
      </c>
      <c r="Q46" s="124" t="s">
        <v>472</v>
      </c>
      <c r="R46" s="146"/>
      <c r="S46" s="32" t="s">
        <v>35</v>
      </c>
      <c r="T46" s="12" t="s">
        <v>35</v>
      </c>
      <c r="U46" s="134" t="s">
        <v>320</v>
      </c>
      <c r="V46" s="154"/>
      <c r="W46" s="146"/>
      <c r="X46" s="154"/>
    </row>
    <row r="47" ht="82.5" spans="1:24">
      <c r="A47" s="68" t="s">
        <v>25</v>
      </c>
      <c r="B47" s="12" t="s">
        <v>21</v>
      </c>
      <c r="C47" s="77"/>
      <c r="D47" s="77" t="s">
        <v>473</v>
      </c>
      <c r="E47" s="97"/>
      <c r="F47" s="68" t="s">
        <v>456</v>
      </c>
      <c r="G47" s="16"/>
      <c r="H47" s="68" t="s">
        <v>243</v>
      </c>
      <c r="I47" s="68" t="s">
        <v>230</v>
      </c>
      <c r="J47" s="13" t="s">
        <v>393</v>
      </c>
      <c r="K47" s="68" t="s">
        <v>243</v>
      </c>
      <c r="L47" s="32" t="s">
        <v>315</v>
      </c>
      <c r="M47" s="155"/>
      <c r="N47" s="34" t="s">
        <v>474</v>
      </c>
      <c r="O47" s="6" t="s">
        <v>475</v>
      </c>
      <c r="P47" s="6" t="s">
        <v>476</v>
      </c>
      <c r="Q47" s="124" t="s">
        <v>477</v>
      </c>
      <c r="R47" s="146"/>
      <c r="S47" s="32" t="s">
        <v>35</v>
      </c>
      <c r="T47" s="12" t="s">
        <v>35</v>
      </c>
      <c r="U47" s="134" t="s">
        <v>320</v>
      </c>
      <c r="V47" s="154"/>
      <c r="W47" s="154"/>
      <c r="X47" s="141"/>
    </row>
    <row r="48" ht="82.5" spans="1:24">
      <c r="A48" s="77" t="s">
        <v>25</v>
      </c>
      <c r="B48" s="77" t="s">
        <v>21</v>
      </c>
      <c r="C48" s="77" t="s">
        <v>416</v>
      </c>
      <c r="D48" s="77" t="s">
        <v>478</v>
      </c>
      <c r="E48" s="97"/>
      <c r="F48" s="97"/>
      <c r="G48" s="16" t="s">
        <v>172</v>
      </c>
      <c r="H48" s="77" t="s">
        <v>172</v>
      </c>
      <c r="I48" s="97"/>
      <c r="J48" s="97" t="s">
        <v>294</v>
      </c>
      <c r="K48" s="77" t="s">
        <v>172</v>
      </c>
      <c r="L48" s="111" t="s">
        <v>479</v>
      </c>
      <c r="M48" s="155"/>
      <c r="N48" s="34" t="s">
        <v>480</v>
      </c>
      <c r="O48" s="6" t="s">
        <v>481</v>
      </c>
      <c r="P48" s="6" t="s">
        <v>482</v>
      </c>
      <c r="Q48" s="124" t="s">
        <v>483</v>
      </c>
      <c r="R48" s="146"/>
      <c r="S48" s="32" t="s">
        <v>35</v>
      </c>
      <c r="T48" s="32" t="s">
        <v>35</v>
      </c>
      <c r="U48" s="134" t="s">
        <v>320</v>
      </c>
      <c r="V48" s="154"/>
      <c r="W48" s="154"/>
      <c r="X48" s="141"/>
    </row>
    <row r="49" ht="82.5" spans="1:24">
      <c r="A49" s="135" t="s">
        <v>25</v>
      </c>
      <c r="B49" s="135" t="s">
        <v>21</v>
      </c>
      <c r="C49" s="135" t="s">
        <v>416</v>
      </c>
      <c r="D49" s="135" t="s">
        <v>484</v>
      </c>
      <c r="E49" s="135" t="s">
        <v>485</v>
      </c>
      <c r="F49" s="62" t="s">
        <v>456</v>
      </c>
      <c r="G49" s="135" t="s">
        <v>486</v>
      </c>
      <c r="H49" s="135" t="s">
        <v>52</v>
      </c>
      <c r="I49" s="135" t="s">
        <v>91</v>
      </c>
      <c r="J49" s="97" t="s">
        <v>309</v>
      </c>
      <c r="K49" s="77" t="s">
        <v>52</v>
      </c>
      <c r="L49" s="111" t="s">
        <v>344</v>
      </c>
      <c r="M49" s="155"/>
      <c r="N49" s="34" t="s">
        <v>487</v>
      </c>
      <c r="O49" s="6" t="s">
        <v>488</v>
      </c>
      <c r="P49" s="6" t="s">
        <v>489</v>
      </c>
      <c r="Q49" s="124" t="s">
        <v>490</v>
      </c>
      <c r="R49" s="146"/>
      <c r="S49" s="32" t="s">
        <v>35</v>
      </c>
      <c r="T49" s="32" t="s">
        <v>35</v>
      </c>
      <c r="U49" s="134" t="s">
        <v>320</v>
      </c>
      <c r="V49" s="154"/>
      <c r="W49" s="154"/>
      <c r="X49" s="141"/>
    </row>
    <row r="50" ht="82.5" spans="1:24">
      <c r="A50" s="144"/>
      <c r="B50" s="144"/>
      <c r="C50" s="144"/>
      <c r="D50" s="144"/>
      <c r="E50" s="144"/>
      <c r="F50" s="67"/>
      <c r="G50" s="144"/>
      <c r="H50" s="144"/>
      <c r="I50" s="144"/>
      <c r="J50" s="153" t="s">
        <v>398</v>
      </c>
      <c r="K50" s="77" t="s">
        <v>52</v>
      </c>
      <c r="L50" s="111" t="s">
        <v>344</v>
      </c>
      <c r="M50" s="156"/>
      <c r="N50" s="34" t="s">
        <v>487</v>
      </c>
      <c r="O50" s="6" t="s">
        <v>491</v>
      </c>
      <c r="P50" s="6" t="s">
        <v>492</v>
      </c>
      <c r="Q50" s="124" t="s">
        <v>490</v>
      </c>
      <c r="R50" s="139"/>
      <c r="S50" s="32" t="s">
        <v>35</v>
      </c>
      <c r="T50" s="32" t="s">
        <v>35</v>
      </c>
      <c r="U50" s="134" t="s">
        <v>320</v>
      </c>
      <c r="V50" s="138"/>
      <c r="W50" s="139"/>
      <c r="X50" s="139"/>
    </row>
    <row r="51" customFormat="1" ht="82.5" spans="1:24">
      <c r="A51" s="135" t="s">
        <v>25</v>
      </c>
      <c r="B51" s="135" t="s">
        <v>21</v>
      </c>
      <c r="C51" s="135" t="s">
        <v>416</v>
      </c>
      <c r="D51" s="135" t="s">
        <v>484</v>
      </c>
      <c r="E51" s="135" t="s">
        <v>29</v>
      </c>
      <c r="F51" s="62" t="s">
        <v>493</v>
      </c>
      <c r="G51" s="135" t="s">
        <v>494</v>
      </c>
      <c r="H51" s="135" t="s">
        <v>52</v>
      </c>
      <c r="I51" s="135" t="s">
        <v>33</v>
      </c>
      <c r="J51" s="97" t="s">
        <v>294</v>
      </c>
      <c r="K51" s="77" t="s">
        <v>52</v>
      </c>
      <c r="L51" s="111" t="s">
        <v>495</v>
      </c>
      <c r="M51" s="155"/>
      <c r="N51" s="34" t="s">
        <v>496</v>
      </c>
      <c r="O51" s="6" t="s">
        <v>497</v>
      </c>
      <c r="P51" s="6" t="s">
        <v>498</v>
      </c>
      <c r="Q51" s="124" t="s">
        <v>499</v>
      </c>
      <c r="R51" s="146"/>
      <c r="S51" s="32" t="s">
        <v>35</v>
      </c>
      <c r="T51" s="32" t="s">
        <v>35</v>
      </c>
      <c r="U51" s="134" t="s">
        <v>320</v>
      </c>
      <c r="V51" s="154"/>
      <c r="W51" s="154"/>
      <c r="X51" s="141"/>
    </row>
    <row r="52" customFormat="1" spans="1:24">
      <c r="A52" s="97"/>
      <c r="B52" s="12"/>
      <c r="C52" s="13"/>
      <c r="D52" s="77"/>
      <c r="E52" s="12"/>
      <c r="F52" s="77"/>
      <c r="G52" s="82"/>
      <c r="H52" s="12"/>
      <c r="I52" s="12"/>
      <c r="J52" s="114"/>
      <c r="K52" s="77"/>
      <c r="L52" s="107"/>
      <c r="M52" s="31"/>
      <c r="N52" s="6"/>
      <c r="O52" s="12"/>
      <c r="P52" s="6"/>
      <c r="Q52" s="157"/>
      <c r="R52" s="13"/>
      <c r="S52" s="12"/>
      <c r="T52" s="32"/>
      <c r="U52" s="77"/>
      <c r="V52" s="77"/>
      <c r="W52" s="12"/>
      <c r="X52" s="13"/>
    </row>
    <row r="53" spans="1:24">
      <c r="A53" s="82"/>
      <c r="B53" s="13"/>
      <c r="C53" s="136"/>
      <c r="D53" s="77"/>
      <c r="E53" s="13"/>
      <c r="F53" s="77"/>
      <c r="G53" s="17"/>
      <c r="H53" s="77"/>
      <c r="I53" s="77"/>
      <c r="J53" s="114"/>
      <c r="K53" s="12"/>
      <c r="L53" s="107"/>
      <c r="M53" s="31"/>
      <c r="N53" s="6"/>
      <c r="O53" s="12"/>
      <c r="P53" s="6"/>
      <c r="Q53" s="74"/>
      <c r="R53" s="13"/>
      <c r="S53" s="32"/>
      <c r="T53" s="32"/>
      <c r="U53" s="166"/>
      <c r="V53" s="12"/>
      <c r="W53" s="12"/>
      <c r="X53" s="13"/>
    </row>
    <row r="54" spans="1:24">
      <c r="A54" s="82"/>
      <c r="B54" s="12"/>
      <c r="C54" s="136"/>
      <c r="D54" s="77"/>
      <c r="E54" s="13"/>
      <c r="F54" s="77"/>
      <c r="G54" s="17"/>
      <c r="H54" s="77"/>
      <c r="I54" s="77"/>
      <c r="J54" s="114"/>
      <c r="K54" s="12"/>
      <c r="L54" s="107"/>
      <c r="M54" s="31"/>
      <c r="N54" s="6"/>
      <c r="O54" s="12"/>
      <c r="P54" s="6"/>
      <c r="Q54" s="74"/>
      <c r="R54" s="13"/>
      <c r="S54" s="32"/>
      <c r="T54" s="32"/>
      <c r="U54" s="77"/>
      <c r="V54" s="12"/>
      <c r="W54" s="12"/>
      <c r="X54" s="13"/>
    </row>
    <row r="55" spans="1:24">
      <c r="A55" s="68"/>
      <c r="B55" s="68"/>
      <c r="C55" s="68"/>
      <c r="D55" s="68"/>
      <c r="E55" s="68"/>
      <c r="F55" s="68"/>
      <c r="G55" s="68"/>
      <c r="H55" s="68"/>
      <c r="I55" s="68"/>
      <c r="J55" s="8"/>
      <c r="K55" s="12"/>
      <c r="L55" s="150"/>
      <c r="M55" s="155"/>
      <c r="N55" s="6"/>
      <c r="O55" s="6"/>
      <c r="P55" s="6"/>
      <c r="Q55" s="74"/>
      <c r="R55" s="13"/>
      <c r="S55" s="32"/>
      <c r="T55" s="12"/>
      <c r="U55" s="166"/>
      <c r="V55" s="6"/>
      <c r="W55" s="12"/>
      <c r="X55" s="12"/>
    </row>
    <row r="56" spans="1:24">
      <c r="A56" s="68"/>
      <c r="B56" s="68"/>
      <c r="C56" s="68"/>
      <c r="D56" s="68"/>
      <c r="E56" s="68"/>
      <c r="F56" s="68"/>
      <c r="G56" s="68"/>
      <c r="H56" s="68"/>
      <c r="I56" s="68"/>
      <c r="J56" s="8"/>
      <c r="K56" s="12"/>
      <c r="L56" s="107"/>
      <c r="M56" s="31"/>
      <c r="N56" s="8"/>
      <c r="O56" s="6"/>
      <c r="P56" s="6"/>
      <c r="Q56" s="74"/>
      <c r="R56" s="13"/>
      <c r="S56" s="123"/>
      <c r="T56" s="32"/>
      <c r="U56" s="166"/>
      <c r="V56" s="6"/>
      <c r="W56" s="12"/>
      <c r="X56" s="12"/>
    </row>
    <row r="57" spans="1:24">
      <c r="A57" s="97"/>
      <c r="B57" s="68"/>
      <c r="C57" s="31"/>
      <c r="D57" s="68"/>
      <c r="E57" s="68"/>
      <c r="F57" s="68"/>
      <c r="G57" s="82"/>
      <c r="H57" s="68"/>
      <c r="I57" s="12"/>
      <c r="J57" s="8"/>
      <c r="K57" s="77"/>
      <c r="L57" s="107"/>
      <c r="M57" s="31"/>
      <c r="N57" s="6"/>
      <c r="O57" s="6"/>
      <c r="P57" s="6"/>
      <c r="Q57" s="6"/>
      <c r="R57" s="13"/>
      <c r="S57" s="123"/>
      <c r="T57" s="32"/>
      <c r="U57" s="166"/>
      <c r="V57" s="6"/>
      <c r="W57" s="12"/>
      <c r="X57" s="12"/>
    </row>
    <row r="58" spans="1:24">
      <c r="A58" s="97"/>
      <c r="B58" s="68"/>
      <c r="C58" s="31"/>
      <c r="D58" s="68"/>
      <c r="E58" s="68"/>
      <c r="F58" s="68"/>
      <c r="G58" s="82"/>
      <c r="H58" s="68"/>
      <c r="I58" s="12"/>
      <c r="J58" s="8"/>
      <c r="K58" s="77"/>
      <c r="L58" s="107"/>
      <c r="M58" s="31"/>
      <c r="N58" s="6"/>
      <c r="O58" s="6"/>
      <c r="P58" s="6"/>
      <c r="Q58" s="6"/>
      <c r="R58" s="13"/>
      <c r="S58" s="123"/>
      <c r="T58" s="32"/>
      <c r="U58" s="166"/>
      <c r="V58" s="12"/>
      <c r="W58" s="13"/>
      <c r="X58" s="13"/>
    </row>
    <row r="59" spans="1:24">
      <c r="A59" s="82"/>
      <c r="B59" s="82"/>
      <c r="C59" s="82"/>
      <c r="D59" s="82"/>
      <c r="E59" s="82"/>
      <c r="F59" s="82"/>
      <c r="G59" s="82"/>
      <c r="H59" s="82"/>
      <c r="I59" s="68"/>
      <c r="J59" s="150"/>
      <c r="K59" s="12"/>
      <c r="L59" s="31"/>
      <c r="M59" s="31"/>
      <c r="N59" s="6"/>
      <c r="O59" s="31"/>
      <c r="P59" s="6"/>
      <c r="Q59" s="74"/>
      <c r="R59" s="13"/>
      <c r="S59" s="123"/>
      <c r="T59" s="32"/>
      <c r="U59" s="134"/>
      <c r="V59" s="12"/>
      <c r="W59" s="12"/>
      <c r="X59" s="13"/>
    </row>
    <row r="60" spans="1:24">
      <c r="A60" s="82"/>
      <c r="B60" s="82"/>
      <c r="C60" s="82"/>
      <c r="D60" s="82"/>
      <c r="E60" s="82"/>
      <c r="F60" s="82"/>
      <c r="G60" s="82"/>
      <c r="H60" s="82"/>
      <c r="I60" s="77"/>
      <c r="J60" s="150"/>
      <c r="K60" s="12"/>
      <c r="L60" s="31"/>
      <c r="M60" s="31"/>
      <c r="N60" s="6"/>
      <c r="O60" s="31"/>
      <c r="P60" s="6"/>
      <c r="Q60" s="74"/>
      <c r="R60" s="13"/>
      <c r="S60" s="123"/>
      <c r="T60" s="32"/>
      <c r="U60" s="134"/>
      <c r="V60" s="167"/>
      <c r="W60" s="12"/>
      <c r="X60" s="13"/>
    </row>
    <row r="61" spans="1:24">
      <c r="A61" s="68"/>
      <c r="B61" s="68"/>
      <c r="C61" s="68"/>
      <c r="D61" s="77"/>
      <c r="E61" s="77"/>
      <c r="F61" s="147"/>
      <c r="G61" s="77"/>
      <c r="H61" s="77"/>
      <c r="I61" s="12"/>
      <c r="J61" s="13"/>
      <c r="K61" s="12"/>
      <c r="L61" s="107"/>
      <c r="M61" s="12"/>
      <c r="N61" s="6"/>
      <c r="O61" s="31"/>
      <c r="P61" s="6"/>
      <c r="Q61" s="74"/>
      <c r="R61" s="12"/>
      <c r="S61" s="123"/>
      <c r="T61" s="32"/>
      <c r="U61" s="134"/>
      <c r="V61" s="167"/>
      <c r="W61" s="12"/>
      <c r="X61" s="13"/>
    </row>
    <row r="62" spans="1:24">
      <c r="A62" s="68"/>
      <c r="B62" s="68"/>
      <c r="C62" s="68"/>
      <c r="D62" s="77"/>
      <c r="E62" s="77"/>
      <c r="F62" s="147"/>
      <c r="G62" s="97"/>
      <c r="H62" s="77"/>
      <c r="I62" s="12"/>
      <c r="J62" s="13"/>
      <c r="K62" s="12"/>
      <c r="L62" s="150"/>
      <c r="M62" s="13"/>
      <c r="N62" s="6"/>
      <c r="O62" s="6"/>
      <c r="P62" s="6"/>
      <c r="Q62" s="74"/>
      <c r="R62" s="12"/>
      <c r="S62" s="123"/>
      <c r="T62" s="32"/>
      <c r="U62" s="134"/>
      <c r="V62" s="41"/>
      <c r="W62" s="12"/>
      <c r="X62" s="13"/>
    </row>
    <row r="63" spans="1:23">
      <c r="A63" s="68"/>
      <c r="B63" s="68"/>
      <c r="C63" s="68"/>
      <c r="D63" s="8"/>
      <c r="E63" s="110"/>
      <c r="F63" s="97"/>
      <c r="G63" s="97"/>
      <c r="H63" s="77"/>
      <c r="I63" s="97"/>
      <c r="J63" s="13"/>
      <c r="K63" s="12"/>
      <c r="L63" s="150"/>
      <c r="M63" s="13"/>
      <c r="N63" s="6"/>
      <c r="O63" s="6"/>
      <c r="P63" s="6"/>
      <c r="Q63" s="74"/>
      <c r="R63" s="12"/>
      <c r="S63" s="123"/>
      <c r="T63" s="32"/>
      <c r="U63" s="134"/>
      <c r="V63" s="41"/>
      <c r="W63" s="41"/>
    </row>
    <row r="64" spans="1:24">
      <c r="A64" s="68"/>
      <c r="B64" s="68"/>
      <c r="C64" s="68"/>
      <c r="D64" s="77"/>
      <c r="E64" s="110"/>
      <c r="F64" s="97"/>
      <c r="G64" s="97"/>
      <c r="H64" s="77"/>
      <c r="I64" s="77"/>
      <c r="J64" s="146"/>
      <c r="K64" s="154"/>
      <c r="L64" s="111"/>
      <c r="M64" s="146"/>
      <c r="N64" s="154"/>
      <c r="O64" s="141"/>
      <c r="P64" s="141"/>
      <c r="Q64" s="161"/>
      <c r="R64" s="146"/>
      <c r="S64" s="142"/>
      <c r="T64" s="162"/>
      <c r="U64" s="168"/>
      <c r="V64" s="12"/>
      <c r="W64" s="13"/>
      <c r="X64" s="13"/>
    </row>
    <row r="65" spans="1:24">
      <c r="A65" s="68"/>
      <c r="B65" s="68"/>
      <c r="C65" s="68"/>
      <c r="D65" s="8"/>
      <c r="E65" s="68"/>
      <c r="F65" s="97"/>
      <c r="G65" s="17"/>
      <c r="H65" s="91"/>
      <c r="I65" s="77"/>
      <c r="J65" s="150"/>
      <c r="K65" s="12"/>
      <c r="L65" s="31"/>
      <c r="M65" s="13"/>
      <c r="N65" s="6"/>
      <c r="O65" s="6"/>
      <c r="P65" s="6"/>
      <c r="Q65" s="104"/>
      <c r="R65" s="13"/>
      <c r="S65" s="107"/>
      <c r="T65" s="13"/>
      <c r="U65" s="97"/>
      <c r="V65" s="12"/>
      <c r="W65" s="12"/>
      <c r="X65" s="13"/>
    </row>
    <row r="66" spans="1:24">
      <c r="A66" s="68"/>
      <c r="B66" s="68"/>
      <c r="C66" s="68"/>
      <c r="D66" s="8"/>
      <c r="E66" s="68"/>
      <c r="F66" s="97"/>
      <c r="G66" s="17"/>
      <c r="H66" s="91"/>
      <c r="I66" s="77"/>
      <c r="J66" s="150"/>
      <c r="K66" s="12"/>
      <c r="L66" s="31"/>
      <c r="M66" s="13"/>
      <c r="N66" s="6"/>
      <c r="O66" s="6"/>
      <c r="P66" s="6"/>
      <c r="Q66" s="104"/>
      <c r="R66" s="13"/>
      <c r="S66" s="107"/>
      <c r="T66" s="13"/>
      <c r="U66" s="97"/>
      <c r="V66" s="12"/>
      <c r="W66" s="12"/>
      <c r="X66" s="13"/>
    </row>
    <row r="67" spans="1:24">
      <c r="A67" s="68"/>
      <c r="B67" s="68"/>
      <c r="C67" s="68"/>
      <c r="D67" s="8"/>
      <c r="E67" s="110"/>
      <c r="F67" s="97"/>
      <c r="G67" s="97"/>
      <c r="H67" s="77"/>
      <c r="I67" s="97"/>
      <c r="J67" s="13"/>
      <c r="K67" s="12"/>
      <c r="L67" s="150"/>
      <c r="M67" s="13"/>
      <c r="N67" s="6"/>
      <c r="O67" s="6"/>
      <c r="P67" s="6"/>
      <c r="Q67" s="74"/>
      <c r="R67" s="12"/>
      <c r="S67" s="123"/>
      <c r="T67" s="32"/>
      <c r="U67" s="134"/>
      <c r="V67" s="12"/>
      <c r="W67" s="12"/>
      <c r="X67" s="13"/>
    </row>
    <row r="68" spans="1:24">
      <c r="A68" s="77"/>
      <c r="B68" s="77"/>
      <c r="C68" s="8"/>
      <c r="D68" s="8"/>
      <c r="E68" s="110"/>
      <c r="F68" s="97"/>
      <c r="G68" s="97"/>
      <c r="H68" s="97"/>
      <c r="I68" s="97"/>
      <c r="J68" s="12"/>
      <c r="K68" s="97"/>
      <c r="L68" s="107"/>
      <c r="M68" s="13"/>
      <c r="N68" s="12"/>
      <c r="O68" s="104"/>
      <c r="P68" s="6"/>
      <c r="Q68" s="74"/>
      <c r="R68" s="12"/>
      <c r="S68" s="107"/>
      <c r="T68" s="12"/>
      <c r="U68" s="134"/>
      <c r="V68" s="12"/>
      <c r="W68" s="13"/>
      <c r="X68" s="13"/>
    </row>
    <row r="69" ht="64.15" customHeight="1" spans="1:24">
      <c r="A69" s="68"/>
      <c r="B69" s="68"/>
      <c r="C69" s="68"/>
      <c r="D69" s="77"/>
      <c r="E69" s="110"/>
      <c r="F69" s="97"/>
      <c r="G69" s="97"/>
      <c r="H69" s="77"/>
      <c r="I69" s="77"/>
      <c r="J69" s="146"/>
      <c r="K69" s="154"/>
      <c r="L69" s="111"/>
      <c r="M69" s="146"/>
      <c r="N69" s="154"/>
      <c r="O69" s="141"/>
      <c r="P69" s="141"/>
      <c r="Q69" s="161"/>
      <c r="R69" s="146"/>
      <c r="S69" s="142"/>
      <c r="T69" s="162"/>
      <c r="U69" s="135"/>
      <c r="V69" s="12"/>
      <c r="W69" s="12"/>
      <c r="X69" s="13"/>
    </row>
    <row r="70" spans="1:24">
      <c r="A70" s="68"/>
      <c r="B70" s="77"/>
      <c r="C70" s="8"/>
      <c r="D70" s="8"/>
      <c r="E70" s="110"/>
      <c r="F70" s="97"/>
      <c r="G70" s="97"/>
      <c r="H70" s="97"/>
      <c r="I70" s="77"/>
      <c r="J70" s="12"/>
      <c r="K70" s="97"/>
      <c r="L70" s="107"/>
      <c r="M70" s="13"/>
      <c r="N70" s="12"/>
      <c r="O70" s="104"/>
      <c r="P70" s="104"/>
      <c r="Q70" s="74"/>
      <c r="R70" s="13"/>
      <c r="S70" s="107"/>
      <c r="T70" s="107"/>
      <c r="U70" s="97"/>
      <c r="V70" s="13"/>
      <c r="W70" s="13"/>
      <c r="X70" s="13"/>
    </row>
    <row r="71" spans="1:24">
      <c r="A71" s="68"/>
      <c r="B71" s="77"/>
      <c r="C71" s="8"/>
      <c r="D71" s="8"/>
      <c r="E71" s="110"/>
      <c r="F71" s="97"/>
      <c r="G71" s="97"/>
      <c r="H71" s="77"/>
      <c r="I71" s="77"/>
      <c r="J71" s="12"/>
      <c r="K71" s="77"/>
      <c r="L71" s="111"/>
      <c r="M71" s="13"/>
      <c r="N71" s="12"/>
      <c r="O71" s="6"/>
      <c r="P71" s="6"/>
      <c r="Q71" s="104"/>
      <c r="R71" s="13"/>
      <c r="S71" s="142"/>
      <c r="T71" s="142"/>
      <c r="U71" s="77"/>
      <c r="V71" s="13"/>
      <c r="W71" s="13"/>
      <c r="X71" s="13"/>
    </row>
    <row r="72" ht="99" spans="1:21">
      <c r="A72" s="68" t="s">
        <v>25</v>
      </c>
      <c r="B72" s="68" t="s">
        <v>233</v>
      </c>
      <c r="C72" s="68" t="s">
        <v>416</v>
      </c>
      <c r="D72" s="8" t="s">
        <v>500</v>
      </c>
      <c r="E72" s="68" t="s">
        <v>29</v>
      </c>
      <c r="F72" s="97"/>
      <c r="G72" s="17"/>
      <c r="H72" s="91" t="s">
        <v>32</v>
      </c>
      <c r="I72" s="77" t="s">
        <v>33</v>
      </c>
      <c r="J72" s="150" t="s">
        <v>294</v>
      </c>
      <c r="K72" s="12" t="s">
        <v>32</v>
      </c>
      <c r="L72" s="111" t="s">
        <v>295</v>
      </c>
      <c r="N72" s="169" t="s">
        <v>501</v>
      </c>
      <c r="O72" s="169" t="s">
        <v>502</v>
      </c>
      <c r="P72" s="169" t="s">
        <v>503</v>
      </c>
      <c r="S72" s="123" t="s">
        <v>35</v>
      </c>
      <c r="T72" s="32" t="s">
        <v>35</v>
      </c>
      <c r="U72" s="77" t="s">
        <v>320</v>
      </c>
    </row>
    <row r="73" ht="49.5" spans="1:21">
      <c r="A73" s="68" t="s">
        <v>25</v>
      </c>
      <c r="B73" s="68" t="s">
        <v>233</v>
      </c>
      <c r="C73" s="68" t="s">
        <v>416</v>
      </c>
      <c r="D73" s="8" t="s">
        <v>504</v>
      </c>
      <c r="E73" s="68" t="s">
        <v>29</v>
      </c>
      <c r="F73" s="97"/>
      <c r="G73" s="17"/>
      <c r="H73" s="91" t="s">
        <v>32</v>
      </c>
      <c r="I73" s="77" t="s">
        <v>33</v>
      </c>
      <c r="J73" s="150" t="s">
        <v>294</v>
      </c>
      <c r="K73" s="12" t="s">
        <v>32</v>
      </c>
      <c r="L73" s="111" t="s">
        <v>505</v>
      </c>
      <c r="N73" s="169" t="s">
        <v>506</v>
      </c>
      <c r="O73" s="169" t="s">
        <v>507</v>
      </c>
      <c r="P73" s="169" t="s">
        <v>508</v>
      </c>
      <c r="S73" s="123" t="s">
        <v>35</v>
      </c>
      <c r="T73" s="32" t="s">
        <v>35</v>
      </c>
      <c r="U73" s="77" t="s">
        <v>320</v>
      </c>
    </row>
  </sheetData>
  <sheetProtection formatCells="0" insertHyperlinks="0" autoFilter="0"/>
  <autoFilter xmlns:etc="http://www.wps.cn/officeDocument/2017/etCustomData" ref="A2:X73" etc:filterBottomFollowUsedRange="1">
    <extLst/>
  </autoFilter>
  <mergeCells count="101">
    <mergeCell ref="J1:U1"/>
    <mergeCell ref="V1:X1"/>
    <mergeCell ref="A5:A8"/>
    <mergeCell ref="A9:A10"/>
    <mergeCell ref="A11:A12"/>
    <mergeCell ref="A16:A18"/>
    <mergeCell ref="A20:A21"/>
    <mergeCell ref="A24:A25"/>
    <mergeCell ref="A32:A33"/>
    <mergeCell ref="A41:A42"/>
    <mergeCell ref="A44:A45"/>
    <mergeCell ref="A49:A50"/>
    <mergeCell ref="B5:B8"/>
    <mergeCell ref="B9:B10"/>
    <mergeCell ref="B11:B12"/>
    <mergeCell ref="B16:B18"/>
    <mergeCell ref="B20:B21"/>
    <mergeCell ref="B24:B25"/>
    <mergeCell ref="B32:B33"/>
    <mergeCell ref="B41:B42"/>
    <mergeCell ref="B44:B45"/>
    <mergeCell ref="B49:B50"/>
    <mergeCell ref="C5:C8"/>
    <mergeCell ref="C9:C10"/>
    <mergeCell ref="C11:C12"/>
    <mergeCell ref="C16:C18"/>
    <mergeCell ref="C24:C25"/>
    <mergeCell ref="C41:C42"/>
    <mergeCell ref="C44:C45"/>
    <mergeCell ref="C49:C50"/>
    <mergeCell ref="D5:D8"/>
    <mergeCell ref="D9:D10"/>
    <mergeCell ref="D11:D12"/>
    <mergeCell ref="D16:D18"/>
    <mergeCell ref="D20:D21"/>
    <mergeCell ref="D24:D25"/>
    <mergeCell ref="D32:D33"/>
    <mergeCell ref="D41:D42"/>
    <mergeCell ref="D44:D45"/>
    <mergeCell ref="D49:D50"/>
    <mergeCell ref="E5:E8"/>
    <mergeCell ref="E9:E10"/>
    <mergeCell ref="E11:E12"/>
    <mergeCell ref="E16:E18"/>
    <mergeCell ref="E20:E21"/>
    <mergeCell ref="E24:E25"/>
    <mergeCell ref="E41:E42"/>
    <mergeCell ref="E44:E45"/>
    <mergeCell ref="E49:E50"/>
    <mergeCell ref="F5:F8"/>
    <mergeCell ref="F9:F10"/>
    <mergeCell ref="F11:F12"/>
    <mergeCell ref="F16:F18"/>
    <mergeCell ref="F20:F21"/>
    <mergeCell ref="F24:F25"/>
    <mergeCell ref="F41:F42"/>
    <mergeCell ref="F44:F45"/>
    <mergeCell ref="F49:F50"/>
    <mergeCell ref="G5:G8"/>
    <mergeCell ref="G9:G10"/>
    <mergeCell ref="G11:G12"/>
    <mergeCell ref="G16:G18"/>
    <mergeCell ref="G20:G21"/>
    <mergeCell ref="G24:G25"/>
    <mergeCell ref="G32:G33"/>
    <mergeCell ref="G41:G42"/>
    <mergeCell ref="G44:G45"/>
    <mergeCell ref="G49:G50"/>
    <mergeCell ref="H5:H8"/>
    <mergeCell ref="H9:H10"/>
    <mergeCell ref="H11:H12"/>
    <mergeCell ref="H16:H18"/>
    <mergeCell ref="H20:H21"/>
    <mergeCell ref="H24:H25"/>
    <mergeCell ref="H32:H33"/>
    <mergeCell ref="H41:H42"/>
    <mergeCell ref="H44:H45"/>
    <mergeCell ref="H49:H50"/>
    <mergeCell ref="I5:I8"/>
    <mergeCell ref="I9:I10"/>
    <mergeCell ref="I16:I18"/>
    <mergeCell ref="I20:I21"/>
    <mergeCell ref="I24:I25"/>
    <mergeCell ref="I32:I33"/>
    <mergeCell ref="I41:I42"/>
    <mergeCell ref="I44:I45"/>
    <mergeCell ref="I49:I50"/>
    <mergeCell ref="L44:L45"/>
    <mergeCell ref="M44:M45"/>
    <mergeCell ref="N44:N45"/>
    <mergeCell ref="O44:O45"/>
    <mergeCell ref="P44:P45"/>
    <mergeCell ref="Q11:Q12"/>
    <mergeCell ref="Q44:Q45"/>
    <mergeCell ref="R44:R45"/>
    <mergeCell ref="S44:S45"/>
    <mergeCell ref="T44:T45"/>
    <mergeCell ref="U44:U45"/>
    <mergeCell ref="V44:V45"/>
    <mergeCell ref="W44:W45"/>
    <mergeCell ref="X44:X45"/>
  </mergeCells>
  <dataValidations count="3">
    <dataValidation type="list" allowBlank="1" showErrorMessage="1" errorTitle="错误提示" error="请输入下拉列表中的值" id="{a24475e9-2440-487d-8b60-bcce40f9da1c}" sqref="L3:L73" errorStyle="information">
      <formula1>"交易员工作站,风险管理工作站,场外运营端（web）,场外对客Web端,展业工作站（web）,投顾平台（web）,Headsbos,场外量化终端,LAMP,RDS,无,待定"</formula1>
    </dataValidation>
    <dataValidation type="list" allowBlank="1" showErrorMessage="1" errorTitle="错误提示" error="请输入下拉列表中的值" id="{5543fad6-de82-49ba-b44f-49595aefac6e}" sqref="J3:J71" errorStyle="information">
      <formula1>"策略平台,估值及风险计量,交易,客需/交易后,平台,数据服务"</formula1>
    </dataValidation>
    <dataValidation type="list" allowBlank="1" showErrorMessage="1" errorTitle="错误提示" error="请输入下拉列表中的值" sqref="S6:T6 T22 T30 T35 S58:T58 T67 S2:S5 S7:S47 S53:S57 S59:S1048576 T7:T13 T24:T25 T27:T28 T52:T54 T56:T57 T59:T64 T69:T73 S48:T51">
      <formula1>"是,否"</formula1>
    </dataValidation>
  </dataValidations>
  <hyperlinks>
    <hyperlink ref="C9" r:id="rId1" display="FICCHEADS-1180" tooltip="http://jira.htzq.htsc.com.cn/browse/FICCHEADS-1180"/>
    <hyperlink ref="C5" r:id="rId2" display="FICCHEADS-1167" tooltip="http://jira.htzq.htsc.com.cn/browse/FICCHEADS-1167"/>
    <hyperlink ref="C13" r:id="rId3" display="FICCHEADS-1097" tooltip="http://jira.htzq.htsc.com.cn/browse/FICCHEADS-1097"/>
    <hyperlink ref="C14" r:id="rId4" display="FICCHEADS-1136" tooltip="http://jira.htzq.htsc.com.cn/browse/FICCHEADS-1136"/>
    <hyperlink ref="C4" r:id="rId5" display="FICCHEADS-1124" tooltip="http://jira.htzq.htsc.com.cn/browse/FICCHEADS-1124"/>
    <hyperlink ref="C11" r:id="rId6" display="FICCHEADS-873" tooltip="http://jira.htzq.htsc.com.cn/browse/FICCHEADS-873"/>
    <hyperlink ref="C3" r:id="rId7" display="FICCHEADS-1127" tooltip="http://jira.htzq.htsc.com.cn/browse/FICCHEADS-1127"/>
    <hyperlink ref="C15" r:id="rId8" display="FICCHEADS-812"/>
    <hyperlink ref="C24" r:id="rId9" display="FICCHEADS-1110"/>
    <hyperlink ref="C16" r:id="rId10" display="FICCHEADS-1140"/>
    <hyperlink ref="C19" r:id="rId11" display="FICCHEADS-1189"/>
    <hyperlink ref="C20" r:id="rId12" display="FICCHEADS-1194"/>
    <hyperlink ref="C22" r:id="rId13" display="FICCHEADS-1149"/>
    <hyperlink ref="C27" r:id="rId14" display="IT需求申请央20251028572539-1"/>
    <hyperlink ref="C30" r:id="rId15" location="/main/workflow/req?requestid=7032267&amp;_workflowid=12522&amp;f_weaver_belongto_userid=71200&amp;isovertime=0&amp;preloadkey=1766547325376&amp;timestamp=1766547325376&amp;_key=k4e1cq" display="IT需求申请风20250905559247"/>
    <hyperlink ref="C23" r:id="rId16" display="FICCHEADS-1197"/>
    <hyperlink ref="C26" r:id="rId17" display="FICCHEADS-1203"/>
    <hyperlink ref="C28" r:id="rId18" display="IT需求申请资运20251224590060-9"/>
    <hyperlink ref="C29" r:id="rId18" display="IT需求申请资运20251224590060-4"/>
    <hyperlink ref="Q20" r:id="rId19" display="http://wiki.htzq.htsc.com.cn/pages/viewpage.action?pageId=450074118" tooltip="http://wiki.htzq.htsc.com.cn/pages/viewpage.action?pageId=450074118"/>
    <hyperlink ref="Q9" r:id="rId20" display="http://wiki.htzq.htsc.com.cn/pages/viewpage.action?pageId=441280821" tooltip="http://wiki.htzq.htsc.com.cn/pages/viewpage.action?pageId=441280821"/>
    <hyperlink ref="Q5" r:id="rId21" display="http://wiki.htzq.htsc.com.cn/pages/viewpage.action?pageId=459694175"/>
    <hyperlink ref="Q41" r:id="rId22" display="http://wiki.htzq.htsc.com.cn/pages/viewpage.action?pageId=452350299"/>
    <hyperlink ref="Q21" r:id="rId23" display="http://wiki.htzq.htsc.com.cn/pages/viewpage.action?pageId=459694380"/>
    <hyperlink ref="Q39" r:id="rId24" display="http://wiki.htzq.htsc.com.cn/pages/viewpage.action?pageId=459693492" tooltip="http://wiki.htzq.htsc.com.cn/pages/viewpage.action?pageId=459693492"/>
    <hyperlink ref="Q36" r:id="rId25" display="http://wiki.htzq.htsc.com.cn/pages/viewpage.action?pageId=458551306"/>
    <hyperlink ref="Q18" r:id="rId26" display="http://wiki.htzq.htsc.com.cn/pages/viewpage.action?pageId=443098347" tooltip="http://wiki.htzq.htsc.com.cn/pages/viewpage.action?pageId=443098347"/>
    <hyperlink ref="Q17" r:id="rId27" display="http://wiki.htzq.htsc.com.cn/pages/viewpage.action?pageId=455323572"/>
    <hyperlink ref="Q14" r:id="rId28" display="http://wiki.htzq.htsc.com.cn/pages/viewpage.action?pageId=391885489"/>
    <hyperlink ref="Q15" r:id="rId29" display="http://wiki.htzq.htsc.com.cn/pages/viewpage.action?pageId=452334885"/>
    <hyperlink ref="Q29" r:id="rId30" display="http://wiki.htzq.htsc.com.cn/pages/viewpage.action?pageId=310631324"/>
    <hyperlink ref="O14" r:id="rId31" display="FICC-92765" tooltip="http://jira.htzq.htsc.com.cn/browse/FICC-92765"/>
    <hyperlink ref="Q26" r:id="rId32" display="http://wiki.htzq.htsc.com.cn/pages/viewpage.action?pageId=460337200" tooltip="http://wiki.htzq.htsc.com.cn/pages/viewpage.action?pageId=460337200"/>
    <hyperlink ref="Q31" r:id="rId33" display="http://wiki.htzq.htsc.com.cn/pages/viewpage.action?pageId=455322331" tooltip="http://wiki.htzq.htsc.com.cn/pages/viewpage.action?pageId=455322331"/>
    <hyperlink ref="Q37" r:id="rId34" display="http://wiki.htzq.htsc.com.cn/x/YktmGw" tooltip="http://wiki.htzq.htsc.com.cn/x/YktmGw"/>
    <hyperlink ref="Q16" r:id="rId35" display="http://wiki.htzq.htsc.com.cn/pages/viewpage.action?pageId=438196306"/>
    <hyperlink ref="Q24" r:id="rId36" display="http://wiki.htzq.htsc.com.cn/pages/viewpage.action?pageId=448011994"/>
    <hyperlink ref="Q32" r:id="rId37" display="http://wiki.htzq.htsc.com.cn/pages/viewpage.action?pageId=449428742"/>
    <hyperlink ref="Q7" r:id="rId38" display="http://wiki.htzq.htsc.com.cn/pages/viewpage.action?pageId=454751422"/>
    <hyperlink ref="Q42" r:id="rId39" display="http://wiki.htzq.htsc.com.cn/pages/viewpage.action?pageId=453495134"/>
    <hyperlink ref="Q43" r:id="rId40" display="http://wiki.htzq.htsc.com.cn/pages/viewpage.action?pageId=454080280"/>
    <hyperlink ref="Q44" r:id="rId41" display="http://wiki.htzq.htsc.com.cn/pages/viewpage.action?pageId=441259136"/>
    <hyperlink ref="Q46" r:id="rId42" display="http://wiki.htzq.htsc.com.cn/pages/viewpage.action?pageId=456684292"/>
    <hyperlink ref="Q27" r:id="rId43" display="http://wiki.htzq.htsc.com.cn/x/3neEGg" tooltip="http://wiki.htzq.htsc.com.cn/x/3neEGg"/>
    <hyperlink ref="Q23" r:id="rId44" display="http://wiki.htzq.htsc.com.cn/x/raAaGw"/>
    <hyperlink ref="Q48" r:id="rId45" display="http://wiki.htzq.htsc.com.cn/pages/viewpage.action?pageId=364103809"/>
    <hyperlink ref="Q28" r:id="rId46" display="http://wiki.htzq.htsc.com.cn/x/VaQaGw" tooltip="http://wiki.htzq.htsc.com.cn/x/VaQaGw"/>
    <hyperlink ref="Q11" r:id="rId47" display="http://wiki.htzq.htsc.com.cn/pages/viewpage.action?pageId=450101163" tooltip="http://wiki.htzq.htsc.com.cn/pages/viewpage.action?pageId=450101163"/>
    <hyperlink ref="Q3" r:id="rId48" display="http://wiki.htzq.htsc.com.cn/pages/viewpage.action?pageId=455313229" tooltip="http://wiki.htzq.htsc.com.cn/pages/viewpage.action?pageId=455313229"/>
    <hyperlink ref="Q4" r:id="rId49" display="http://wiki.htzq.htsc.com.cn/pages/viewpage.action?pageId=437466519" tooltip="http://wiki.htzq.htsc.com.cn/pages/viewpage.action?pageId=437466519"/>
    <hyperlink ref="Q22" r:id="rId50" display="http://wiki.htzq.htsc.com.cn/pages/viewpage.action?pageId=454734722"/>
    <hyperlink ref="Q49" r:id="rId51" display="http://wiki.htzq.htsc.com.cn/pages/viewpage.action?pageId=454094839"/>
    <hyperlink ref="Q50" r:id="rId51" display="http://wiki.htzq.htsc.com.cn/pages/viewpage.action?pageId=454094839"/>
    <hyperlink ref="Q10" r:id="rId52" display="http://wiki.htzq.htsc.com.cn/pages/viewpage.action?pageId=432902954" tooltip="http://wiki.htzq.htsc.com.cn/pages/viewpage.action?pageId=432902954"/>
    <hyperlink ref="Q47" r:id="rId53" display="http://wiki.htzq.htsc.com.cn/pages/viewpage.action?pageId=460850071"/>
    <hyperlink ref="Q25" r:id="rId36" display="http://wiki.htzq.htsc.com.cn/pages/viewpage.action?pageId=448011994" tooltip="http://wiki.htzq.htsc.com.cn/pages/viewpage.action?pageId=448011994"/>
    <hyperlink ref="Q8" r:id="rId54" display="http://wiki.htzq.htsc.com.cn/x/5DYeGg" tooltip="http://wiki.htzq.htsc.com.cn/x/5DYeGg"/>
    <hyperlink ref="Q51" r:id="rId55" display="http://wiki.htzq.htsc.com.cn/pages/viewpage.action?pageId=461981867"/>
    <hyperlink ref="Q40" r:id="rId56" display="http://wiki.htzq.htsc.com.cn/pages/viewpage.action?pageId=463084706" tooltip="http://wiki.htzq.htsc.com.cn/pages/viewpage.action?pageId=463084706"/>
  </hyperlink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36"/>
  <sheetViews>
    <sheetView workbookViewId="0">
      <selection activeCell="A1" sqref="A1:N1"/>
    </sheetView>
  </sheetViews>
  <sheetFormatPr defaultColWidth="9" defaultRowHeight="13.5"/>
  <cols>
    <col min="1" max="1" width="19.25" style="27" customWidth="1"/>
    <col min="2" max="2" width="16.375" customWidth="1"/>
    <col min="3" max="3" width="20" customWidth="1"/>
    <col min="4" max="4" width="19.375" customWidth="1"/>
    <col min="5" max="5" width="58.625" customWidth="1"/>
    <col min="6" max="6" width="63.5" customWidth="1"/>
    <col min="8" max="9" width="13.5" customWidth="1"/>
    <col min="10" max="11" width="15.125" hidden="1" customWidth="1"/>
    <col min="12" max="14" width="14" hidden="1" customWidth="1"/>
    <col min="15" max="16" width="9" hidden="1" customWidth="1"/>
  </cols>
  <sheetData>
    <row r="1" ht="18" spans="1:14">
      <c r="A1" s="28" t="s">
        <v>509</v>
      </c>
      <c r="B1" s="28"/>
      <c r="C1" s="28"/>
      <c r="D1" s="28"/>
      <c r="E1" s="28"/>
      <c r="F1" s="28"/>
      <c r="G1" s="28"/>
      <c r="H1" s="28"/>
      <c r="I1" s="28"/>
      <c r="J1" s="28"/>
      <c r="K1" s="28"/>
      <c r="L1" s="28"/>
      <c r="M1" s="28"/>
      <c r="N1" s="28"/>
    </row>
    <row r="2" ht="17.25" spans="1:14">
      <c r="A2" s="29" t="s">
        <v>510</v>
      </c>
      <c r="B2" s="29"/>
      <c r="C2" s="29"/>
      <c r="D2" s="29"/>
      <c r="E2" s="29"/>
      <c r="F2" s="29"/>
      <c r="G2" s="29"/>
      <c r="H2" s="29"/>
      <c r="I2" s="35"/>
      <c r="J2" s="36" t="s">
        <v>511</v>
      </c>
      <c r="K2" s="37"/>
      <c r="L2" s="37"/>
      <c r="M2" s="37"/>
      <c r="N2" s="45"/>
    </row>
    <row r="3" ht="36" spans="1:14">
      <c r="A3" s="30" t="s">
        <v>512</v>
      </c>
      <c r="B3" s="30" t="s">
        <v>513</v>
      </c>
      <c r="C3" s="30" t="s">
        <v>514</v>
      </c>
      <c r="D3" s="30" t="s">
        <v>515</v>
      </c>
      <c r="E3" s="30" t="s">
        <v>516</v>
      </c>
      <c r="F3" s="30" t="s">
        <v>517</v>
      </c>
      <c r="G3" s="30" t="s">
        <v>518</v>
      </c>
      <c r="H3" s="30" t="s">
        <v>519</v>
      </c>
      <c r="I3" s="30" t="s">
        <v>520</v>
      </c>
      <c r="J3" s="38" t="s">
        <v>521</v>
      </c>
      <c r="K3" s="38" t="s">
        <v>522</v>
      </c>
      <c r="L3" s="39" t="s">
        <v>523</v>
      </c>
      <c r="M3" s="39" t="s">
        <v>524</v>
      </c>
      <c r="N3" s="39" t="s">
        <v>525</v>
      </c>
    </row>
    <row r="4" ht="16.5" spans="1:16">
      <c r="A4" s="31"/>
      <c r="B4" s="12"/>
      <c r="C4" s="32"/>
      <c r="D4" s="32"/>
      <c r="E4" s="32"/>
      <c r="F4" s="32"/>
      <c r="G4" s="13"/>
      <c r="H4" s="12"/>
      <c r="I4" s="12"/>
      <c r="J4" s="13"/>
      <c r="K4" s="13"/>
      <c r="L4" s="12"/>
      <c r="M4" s="12"/>
      <c r="N4" s="12"/>
      <c r="O4" s="44"/>
      <c r="P4" s="44"/>
    </row>
    <row r="5" ht="16.5" spans="1:16">
      <c r="A5" s="31"/>
      <c r="B5" s="12"/>
      <c r="C5" s="32"/>
      <c r="D5" s="32"/>
      <c r="E5" s="32"/>
      <c r="F5" s="31"/>
      <c r="G5" s="13"/>
      <c r="H5" s="12"/>
      <c r="I5" s="12"/>
      <c r="J5" s="13"/>
      <c r="K5" s="13"/>
      <c r="L5" s="12"/>
      <c r="M5" s="12"/>
      <c r="N5" s="12"/>
      <c r="O5" s="44"/>
      <c r="P5" s="44"/>
    </row>
    <row r="6" ht="16.5" spans="1:16">
      <c r="A6" s="31"/>
      <c r="B6" s="12"/>
      <c r="C6" s="32"/>
      <c r="D6" s="32"/>
      <c r="E6" s="32"/>
      <c r="F6" s="32"/>
      <c r="G6" s="13"/>
      <c r="H6" s="12"/>
      <c r="I6" s="12"/>
      <c r="J6" s="13"/>
      <c r="K6" s="13"/>
      <c r="L6" s="12"/>
      <c r="M6" s="12"/>
      <c r="N6" s="12"/>
      <c r="O6" s="44"/>
      <c r="P6" s="44"/>
    </row>
    <row r="7" ht="16.5" spans="1:16">
      <c r="A7" s="31"/>
      <c r="B7" s="12"/>
      <c r="C7" s="32"/>
      <c r="D7" s="32"/>
      <c r="E7" s="32"/>
      <c r="F7" s="32"/>
      <c r="G7" s="13"/>
      <c r="H7" s="12"/>
      <c r="I7" s="12"/>
      <c r="J7" s="13"/>
      <c r="K7" s="13"/>
      <c r="L7" s="12"/>
      <c r="M7" s="12"/>
      <c r="N7" s="12"/>
      <c r="O7" s="44"/>
      <c r="P7" s="44"/>
    </row>
    <row r="8" ht="16.5" spans="1:16">
      <c r="A8" s="31"/>
      <c r="B8" s="13"/>
      <c r="C8" s="32"/>
      <c r="D8" s="32"/>
      <c r="E8" s="32"/>
      <c r="F8" s="31"/>
      <c r="G8" s="13"/>
      <c r="H8" s="12"/>
      <c r="I8" s="12"/>
      <c r="J8" s="13"/>
      <c r="K8" s="13"/>
      <c r="L8" s="12"/>
      <c r="M8" s="12"/>
      <c r="N8" s="12"/>
      <c r="O8" s="44"/>
      <c r="P8" s="44"/>
    </row>
    <row r="9" ht="16.5" spans="1:16">
      <c r="A9" s="31"/>
      <c r="B9" s="12"/>
      <c r="C9" s="32"/>
      <c r="D9" s="32"/>
      <c r="E9" s="32"/>
      <c r="F9" s="31"/>
      <c r="G9" s="13"/>
      <c r="H9" s="12"/>
      <c r="I9" s="12"/>
      <c r="J9" s="13"/>
      <c r="K9" s="13"/>
      <c r="L9" s="13"/>
      <c r="M9" s="13"/>
      <c r="N9" s="13"/>
      <c r="O9" s="44"/>
      <c r="P9" s="44"/>
    </row>
    <row r="10" ht="16.5" spans="1:16">
      <c r="A10" s="31"/>
      <c r="B10" s="12"/>
      <c r="C10" s="32"/>
      <c r="D10" s="32"/>
      <c r="E10" s="32"/>
      <c r="F10" s="31"/>
      <c r="G10" s="13"/>
      <c r="H10" s="12"/>
      <c r="I10" s="12"/>
      <c r="J10" s="13"/>
      <c r="K10" s="13"/>
      <c r="L10" s="13"/>
      <c r="M10" s="13"/>
      <c r="N10" s="13"/>
      <c r="O10" s="44"/>
      <c r="P10" s="44"/>
    </row>
    <row r="11" ht="16.5" spans="1:16">
      <c r="A11" s="31"/>
      <c r="B11" s="12"/>
      <c r="C11" s="32"/>
      <c r="D11" s="32"/>
      <c r="E11" s="32"/>
      <c r="F11" s="31"/>
      <c r="G11" s="13"/>
      <c r="H11" s="12"/>
      <c r="I11" s="12"/>
      <c r="J11" s="40"/>
      <c r="K11" s="13"/>
      <c r="L11" s="13"/>
      <c r="M11" s="13"/>
      <c r="N11" s="13"/>
      <c r="O11" s="44"/>
      <c r="P11" s="44"/>
    </row>
    <row r="12" ht="16.5" spans="1:16">
      <c r="A12" s="31"/>
      <c r="B12" s="12"/>
      <c r="C12" s="32"/>
      <c r="D12" s="32"/>
      <c r="E12" s="32"/>
      <c r="F12" s="32"/>
      <c r="G12" s="13"/>
      <c r="H12" s="12"/>
      <c r="I12" s="12"/>
      <c r="J12" s="40"/>
      <c r="K12" s="13"/>
      <c r="L12" s="12"/>
      <c r="M12" s="12"/>
      <c r="N12" s="12"/>
      <c r="O12" s="44"/>
      <c r="P12" s="44"/>
    </row>
    <row r="13" ht="16.5" spans="1:16">
      <c r="A13" s="31"/>
      <c r="B13" s="12"/>
      <c r="C13" s="32"/>
      <c r="D13" s="32"/>
      <c r="E13" s="32"/>
      <c r="F13" s="32"/>
      <c r="G13" s="13"/>
      <c r="H13" s="12"/>
      <c r="I13" s="12"/>
      <c r="J13" s="40"/>
      <c r="K13" s="13"/>
      <c r="L13" s="12"/>
      <c r="M13" s="12"/>
      <c r="N13" s="12"/>
      <c r="O13" s="44"/>
      <c r="P13" s="44"/>
    </row>
    <row r="14" ht="16.5" spans="1:14">
      <c r="A14" s="31"/>
      <c r="B14" s="12"/>
      <c r="C14" s="32"/>
      <c r="D14" s="32"/>
      <c r="E14" s="32"/>
      <c r="F14" s="31"/>
      <c r="G14" s="12"/>
      <c r="H14" s="12"/>
      <c r="I14" s="12"/>
      <c r="J14" s="1"/>
      <c r="K14" s="1"/>
      <c r="L14" s="41"/>
      <c r="M14" s="41"/>
      <c r="N14" s="41"/>
    </row>
    <row r="15" spans="5:6">
      <c r="E15" s="27"/>
      <c r="F15" s="27"/>
    </row>
    <row r="16" ht="18" spans="1:14">
      <c r="A16" s="28" t="s">
        <v>526</v>
      </c>
      <c r="B16" s="28"/>
      <c r="C16" s="28"/>
      <c r="D16" s="28"/>
      <c r="E16" s="28"/>
      <c r="F16" s="28"/>
      <c r="G16" s="28"/>
      <c r="H16" s="28"/>
      <c r="I16" s="28"/>
      <c r="J16" s="28"/>
      <c r="K16" s="28"/>
      <c r="L16" s="28"/>
      <c r="M16" s="28"/>
      <c r="N16" s="28"/>
    </row>
    <row r="17" ht="17.25" spans="1:14">
      <c r="A17" s="29" t="s">
        <v>510</v>
      </c>
      <c r="B17" s="29"/>
      <c r="C17" s="29"/>
      <c r="D17" s="29"/>
      <c r="E17" s="29"/>
      <c r="F17" s="29"/>
      <c r="G17" s="29"/>
      <c r="H17" s="29"/>
      <c r="I17" s="35"/>
      <c r="J17" s="36" t="s">
        <v>511</v>
      </c>
      <c r="K17" s="37"/>
      <c r="L17" s="37"/>
      <c r="M17" s="37"/>
      <c r="N17" s="45"/>
    </row>
    <row r="18" ht="36" spans="1:14">
      <c r="A18" s="30" t="s">
        <v>512</v>
      </c>
      <c r="B18" s="30" t="s">
        <v>513</v>
      </c>
      <c r="C18" s="30" t="s">
        <v>514</v>
      </c>
      <c r="D18" s="30" t="s">
        <v>515</v>
      </c>
      <c r="E18" s="30" t="s">
        <v>516</v>
      </c>
      <c r="F18" s="30" t="s">
        <v>517</v>
      </c>
      <c r="G18" s="30" t="s">
        <v>518</v>
      </c>
      <c r="H18" s="30" t="s">
        <v>519</v>
      </c>
      <c r="I18" s="30" t="s">
        <v>520</v>
      </c>
      <c r="J18" s="42" t="s">
        <v>521</v>
      </c>
      <c r="K18" s="42" t="s">
        <v>522</v>
      </c>
      <c r="L18" s="43" t="s">
        <v>523</v>
      </c>
      <c r="M18" s="43" t="s">
        <v>524</v>
      </c>
      <c r="N18" s="43" t="s">
        <v>525</v>
      </c>
    </row>
    <row r="19" ht="16.5" spans="1:16">
      <c r="A19" s="31"/>
      <c r="B19" s="12"/>
      <c r="C19" s="32"/>
      <c r="D19" s="32"/>
      <c r="E19" s="32"/>
      <c r="F19" s="31"/>
      <c r="G19" s="12"/>
      <c r="H19" s="12"/>
      <c r="I19" s="12"/>
      <c r="J19" s="13"/>
      <c r="K19" s="12"/>
      <c r="L19" s="13"/>
      <c r="M19" s="13"/>
      <c r="N19" s="13"/>
      <c r="O19" s="44"/>
      <c r="P19" s="44"/>
    </row>
    <row r="20" ht="16.5" spans="1:14">
      <c r="A20" s="31"/>
      <c r="B20" s="12"/>
      <c r="C20" s="31"/>
      <c r="D20" s="12"/>
      <c r="E20" s="34"/>
      <c r="F20" s="12"/>
      <c r="G20" s="31"/>
      <c r="H20" s="12"/>
      <c r="I20" s="31"/>
      <c r="J20" s="44"/>
      <c r="K20" s="44"/>
      <c r="L20" s="44"/>
      <c r="M20" s="44"/>
      <c r="N20" s="44"/>
    </row>
    <row r="21" ht="16.5" spans="1:14">
      <c r="A21" s="31"/>
      <c r="B21" s="12"/>
      <c r="C21" s="31"/>
      <c r="D21" s="12"/>
      <c r="E21" s="34"/>
      <c r="F21" s="12"/>
      <c r="G21" s="31"/>
      <c r="H21" s="12"/>
      <c r="I21" s="31"/>
      <c r="J21" s="44"/>
      <c r="K21" s="44"/>
      <c r="L21" s="44"/>
      <c r="M21" s="44"/>
      <c r="N21" s="44"/>
    </row>
    <row r="22" ht="16.5" spans="1:9">
      <c r="A22" s="31"/>
      <c r="B22" s="13"/>
      <c r="C22" s="32"/>
      <c r="D22" s="32"/>
      <c r="E22" s="32"/>
      <c r="F22" s="31"/>
      <c r="G22" s="13"/>
      <c r="H22" s="12"/>
      <c r="I22" s="12"/>
    </row>
    <row r="23" spans="5:6">
      <c r="E23" s="27"/>
      <c r="F23" s="27"/>
    </row>
    <row r="24" spans="5:6">
      <c r="E24" s="27"/>
      <c r="F24" s="27"/>
    </row>
    <row r="25" spans="5:6">
      <c r="E25" s="27"/>
      <c r="F25" s="27"/>
    </row>
    <row r="26" spans="5:6">
      <c r="E26" s="27"/>
      <c r="F26" s="27"/>
    </row>
    <row r="27" ht="18" spans="1:14">
      <c r="A27" s="33" t="s">
        <v>213</v>
      </c>
      <c r="B27" s="33"/>
      <c r="C27" s="33"/>
      <c r="D27" s="33"/>
      <c r="E27" s="33"/>
      <c r="F27" s="33"/>
      <c r="G27" s="33"/>
      <c r="H27" s="33"/>
      <c r="I27" s="33"/>
      <c r="J27" s="33"/>
      <c r="K27" s="33"/>
      <c r="L27" s="33"/>
      <c r="M27" s="33"/>
      <c r="N27" s="33"/>
    </row>
    <row r="28" ht="17.25" spans="1:14">
      <c r="A28" s="29" t="s">
        <v>527</v>
      </c>
      <c r="B28" s="29"/>
      <c r="C28" s="29"/>
      <c r="D28" s="29"/>
      <c r="E28" s="29"/>
      <c r="F28" s="29"/>
      <c r="G28" s="29"/>
      <c r="H28" s="29"/>
      <c r="I28" s="35"/>
      <c r="J28" s="36" t="s">
        <v>511</v>
      </c>
      <c r="K28" s="37"/>
      <c r="L28" s="37"/>
      <c r="M28" s="37"/>
      <c r="N28" s="45"/>
    </row>
    <row r="29" ht="36" spans="1:14">
      <c r="A29" s="30" t="s">
        <v>512</v>
      </c>
      <c r="B29" s="30" t="s">
        <v>513</v>
      </c>
      <c r="C29" s="30" t="s">
        <v>514</v>
      </c>
      <c r="D29" s="30" t="s">
        <v>515</v>
      </c>
      <c r="E29" s="30" t="s">
        <v>516</v>
      </c>
      <c r="F29" s="30" t="s">
        <v>517</v>
      </c>
      <c r="G29" s="30" t="s">
        <v>518</v>
      </c>
      <c r="H29" s="30" t="s">
        <v>519</v>
      </c>
      <c r="I29" s="30" t="s">
        <v>520</v>
      </c>
      <c r="J29" s="38" t="s">
        <v>521</v>
      </c>
      <c r="K29" s="38" t="s">
        <v>522</v>
      </c>
      <c r="L29" s="39" t="s">
        <v>523</v>
      </c>
      <c r="M29" s="39" t="s">
        <v>524</v>
      </c>
      <c r="N29" s="39" t="s">
        <v>525</v>
      </c>
    </row>
    <row r="30" ht="16.5" spans="1:16">
      <c r="A30" s="31"/>
      <c r="B30" s="12"/>
      <c r="C30" s="31"/>
      <c r="D30" s="32"/>
      <c r="E30" s="32"/>
      <c r="F30" s="31"/>
      <c r="G30" s="13"/>
      <c r="H30" s="12"/>
      <c r="I30" s="12"/>
      <c r="J30" s="13"/>
      <c r="K30" s="13"/>
      <c r="L30" s="12"/>
      <c r="M30" s="12"/>
      <c r="N30" s="13"/>
      <c r="O30" s="44"/>
      <c r="P30" s="44"/>
    </row>
    <row r="31" ht="16.5" spans="1:9">
      <c r="A31" s="31"/>
      <c r="B31" s="12"/>
      <c r="C31" s="31"/>
      <c r="D31" s="31"/>
      <c r="E31" s="31"/>
      <c r="F31" s="31"/>
      <c r="G31" s="31"/>
      <c r="H31" s="31"/>
      <c r="I31" s="31"/>
    </row>
    <row r="32" spans="5:6">
      <c r="E32" s="27"/>
      <c r="F32" s="27"/>
    </row>
    <row r="33" spans="5:6">
      <c r="E33" s="27"/>
      <c r="F33" s="27"/>
    </row>
    <row r="34" spans="5:6">
      <c r="E34" s="27"/>
      <c r="F34" s="27"/>
    </row>
    <row r="35" spans="5:6">
      <c r="E35" s="27"/>
      <c r="F35" s="27"/>
    </row>
    <row r="36" spans="5:6">
      <c r="E36" s="27"/>
      <c r="F36" s="27"/>
    </row>
  </sheetData>
  <sheetProtection formatCells="0" insertHyperlinks="0" autoFilter="0"/>
  <mergeCells count="9">
    <mergeCell ref="A1:N1"/>
    <mergeCell ref="A2:H2"/>
    <mergeCell ref="J2:N2"/>
    <mergeCell ref="A16:N16"/>
    <mergeCell ref="A17:H17"/>
    <mergeCell ref="J17:N17"/>
    <mergeCell ref="A27:N27"/>
    <mergeCell ref="A28:H28"/>
    <mergeCell ref="J28:N28"/>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
  <sheetViews>
    <sheetView topLeftCell="M2" workbookViewId="0">
      <selection activeCell="M2" sqref="K1:Q2"/>
    </sheetView>
  </sheetViews>
  <sheetFormatPr defaultColWidth="9" defaultRowHeight="16.5"/>
  <cols>
    <col min="1" max="1" width="15.125" style="1" customWidth="1"/>
    <col min="2" max="2" width="14.025" style="1" customWidth="1"/>
    <col min="3" max="3" width="30.5" style="1" customWidth="1"/>
    <col min="4" max="5" width="31.3333333333333" style="1" customWidth="1"/>
    <col min="6" max="6" width="51.1333333333333" style="1" hidden="1" customWidth="1"/>
    <col min="7" max="10" width="17.725" style="1" hidden="1" customWidth="1"/>
    <col min="11" max="11" width="13.525" style="1" hidden="1" customWidth="1"/>
    <col min="12" max="12" width="55.875" style="1" hidden="1" customWidth="1"/>
    <col min="13" max="13" width="55.125" style="1" hidden="1" customWidth="1"/>
    <col min="14" max="14" width="57" style="1" hidden="1" customWidth="1"/>
    <col min="15" max="15" width="60.625" style="1" hidden="1" customWidth="1"/>
    <col min="16" max="16" width="53.625" style="1" customWidth="1"/>
    <col min="17" max="17" width="13.525" style="1" customWidth="1"/>
    <col min="18" max="18" width="9" style="1" customWidth="1"/>
    <col min="19" max="16384" width="9" style="1"/>
  </cols>
  <sheetData>
    <row r="1" ht="21.85" customHeight="1" spans="1:17">
      <c r="A1" s="2" t="s">
        <v>528</v>
      </c>
      <c r="B1" s="2" t="s">
        <v>529</v>
      </c>
      <c r="C1" s="2" t="s">
        <v>530</v>
      </c>
      <c r="D1" s="2"/>
      <c r="E1" s="2"/>
      <c r="F1" s="18" t="s">
        <v>531</v>
      </c>
      <c r="G1" s="18" t="s">
        <v>531</v>
      </c>
      <c r="H1" s="18" t="s">
        <v>531</v>
      </c>
      <c r="I1" s="18" t="s">
        <v>531</v>
      </c>
      <c r="J1" s="18" t="s">
        <v>531</v>
      </c>
      <c r="K1" s="18" t="s">
        <v>531</v>
      </c>
      <c r="L1" s="18" t="s">
        <v>531</v>
      </c>
      <c r="M1" s="18" t="s">
        <v>531</v>
      </c>
      <c r="N1" s="18" t="s">
        <v>531</v>
      </c>
      <c r="O1" s="18" t="s">
        <v>531</v>
      </c>
      <c r="P1" s="18" t="s">
        <v>531</v>
      </c>
      <c r="Q1" s="18" t="s">
        <v>531</v>
      </c>
    </row>
    <row r="2" ht="21.85" customHeight="1" spans="1:17">
      <c r="A2" s="3"/>
      <c r="B2" s="3"/>
      <c r="C2" s="3" t="s">
        <v>532</v>
      </c>
      <c r="D2" s="3" t="s">
        <v>533</v>
      </c>
      <c r="E2" s="3" t="s">
        <v>534</v>
      </c>
      <c r="F2" s="19">
        <f t="array" ref="F2:Q2">TRANSPOSE(B3:B14)</f>
        <v>46064</v>
      </c>
      <c r="G2" s="19">
        <v>46065</v>
      </c>
      <c r="H2" s="19">
        <v>46066</v>
      </c>
      <c r="I2" s="19">
        <v>46077</v>
      </c>
      <c r="J2" s="19">
        <v>46078</v>
      </c>
      <c r="K2" s="19">
        <v>46079</v>
      </c>
      <c r="L2" s="19">
        <v>46080</v>
      </c>
      <c r="M2" s="19">
        <v>46083</v>
      </c>
      <c r="N2" s="19">
        <v>46084</v>
      </c>
      <c r="O2" s="19">
        <v>46085</v>
      </c>
      <c r="P2" s="19">
        <v>46086</v>
      </c>
      <c r="Q2" s="19">
        <v>46087</v>
      </c>
    </row>
    <row r="3" ht="49.5" spans="1:17">
      <c r="A3" s="4" t="s">
        <v>535</v>
      </c>
      <c r="B3" s="5">
        <v>46064</v>
      </c>
      <c r="C3" s="6" t="s">
        <v>536</v>
      </c>
      <c r="D3" s="6" t="s">
        <v>537</v>
      </c>
      <c r="E3" s="20"/>
      <c r="F3" s="21" t="s">
        <v>538</v>
      </c>
      <c r="G3" s="21"/>
      <c r="H3" s="21"/>
      <c r="I3" s="21"/>
      <c r="J3" s="21"/>
      <c r="L3" s="21" t="s">
        <v>539</v>
      </c>
      <c r="M3" s="21" t="s">
        <v>540</v>
      </c>
      <c r="N3" s="21" t="s">
        <v>541</v>
      </c>
      <c r="O3" s="21" t="s">
        <v>542</v>
      </c>
      <c r="P3" s="21" t="s">
        <v>543</v>
      </c>
      <c r="Q3" s="13"/>
    </row>
    <row r="4" ht="33" spans="1:17">
      <c r="A4" s="7"/>
      <c r="B4" s="5">
        <f>WORKDAY(B3,1)</f>
        <v>46065</v>
      </c>
      <c r="C4" s="8" t="s">
        <v>544</v>
      </c>
      <c r="D4" s="8" t="s">
        <v>545</v>
      </c>
      <c r="E4" s="22"/>
      <c r="F4" s="23"/>
      <c r="G4" s="23"/>
      <c r="H4" s="23"/>
      <c r="I4" s="23"/>
      <c r="J4" s="23"/>
      <c r="L4" s="23"/>
      <c r="M4" s="23"/>
      <c r="N4" s="23"/>
      <c r="O4" s="23"/>
      <c r="P4" s="23"/>
      <c r="Q4" s="13"/>
    </row>
    <row r="5" ht="33" spans="1:17">
      <c r="A5" s="7"/>
      <c r="B5" s="5">
        <f t="shared" ref="B5:B14" si="0">WORKDAY(B4,1)</f>
        <v>46066</v>
      </c>
      <c r="C5" s="8" t="s">
        <v>546</v>
      </c>
      <c r="D5" s="8" t="s">
        <v>547</v>
      </c>
      <c r="E5" s="24"/>
      <c r="F5" s="23"/>
      <c r="G5" s="23"/>
      <c r="H5" s="23"/>
      <c r="I5" s="23"/>
      <c r="J5" s="23"/>
      <c r="L5" s="23"/>
      <c r="M5" s="23"/>
      <c r="N5" s="23"/>
      <c r="O5" s="23"/>
      <c r="P5" s="23"/>
      <c r="Q5" s="13"/>
    </row>
    <row r="6" spans="1:17">
      <c r="A6" s="7"/>
      <c r="B6" s="5">
        <v>46077</v>
      </c>
      <c r="C6" s="9" t="s">
        <v>548</v>
      </c>
      <c r="D6" s="9" t="s">
        <v>549</v>
      </c>
      <c r="E6" s="9" t="s">
        <v>550</v>
      </c>
      <c r="F6" s="23"/>
      <c r="G6" s="23"/>
      <c r="H6" s="23"/>
      <c r="I6" s="23"/>
      <c r="J6" s="23"/>
      <c r="L6" s="23"/>
      <c r="M6" s="23"/>
      <c r="N6" s="23"/>
      <c r="O6" s="23"/>
      <c r="P6" s="23"/>
      <c r="Q6" s="13"/>
    </row>
    <row r="7" spans="1:17">
      <c r="A7" s="7"/>
      <c r="B7" s="5">
        <f t="shared" si="0"/>
        <v>46078</v>
      </c>
      <c r="C7" s="10"/>
      <c r="D7" s="10"/>
      <c r="E7" s="10"/>
      <c r="F7" s="23"/>
      <c r="G7" s="23"/>
      <c r="H7" s="23"/>
      <c r="I7" s="23"/>
      <c r="J7" s="23"/>
      <c r="L7" s="23"/>
      <c r="M7" s="23"/>
      <c r="N7" s="23"/>
      <c r="O7" s="23"/>
      <c r="P7" s="23"/>
      <c r="Q7" s="13"/>
    </row>
    <row r="8" spans="1:17">
      <c r="A8" s="7"/>
      <c r="B8" s="5">
        <f t="shared" si="0"/>
        <v>46079</v>
      </c>
      <c r="C8" s="10"/>
      <c r="D8" s="10"/>
      <c r="E8" s="10"/>
      <c r="F8" s="23"/>
      <c r="G8" s="23"/>
      <c r="H8" s="23"/>
      <c r="I8" s="23"/>
      <c r="J8" s="23"/>
      <c r="L8" s="23"/>
      <c r="M8" s="23"/>
      <c r="N8" s="23"/>
      <c r="O8" s="23"/>
      <c r="P8" s="23"/>
      <c r="Q8" s="13"/>
    </row>
    <row r="9" spans="1:17">
      <c r="A9" s="7"/>
      <c r="B9" s="5">
        <f t="shared" si="0"/>
        <v>46080</v>
      </c>
      <c r="C9" s="10"/>
      <c r="D9" s="10"/>
      <c r="E9" s="10"/>
      <c r="F9" s="23"/>
      <c r="G9" s="23"/>
      <c r="H9" s="23"/>
      <c r="I9" s="23"/>
      <c r="J9" s="23"/>
      <c r="L9" s="23"/>
      <c r="M9" s="23"/>
      <c r="N9" s="23"/>
      <c r="O9" s="23"/>
      <c r="P9" s="23"/>
      <c r="Q9" s="13"/>
    </row>
    <row r="10" spans="1:17">
      <c r="A10" s="7"/>
      <c r="B10" s="5">
        <f t="shared" si="0"/>
        <v>46083</v>
      </c>
      <c r="C10" s="10"/>
      <c r="D10" s="10"/>
      <c r="E10" s="10"/>
      <c r="F10" s="23"/>
      <c r="G10" s="23"/>
      <c r="H10" s="23"/>
      <c r="I10" s="23"/>
      <c r="J10" s="23"/>
      <c r="L10" s="23"/>
      <c r="M10" s="23"/>
      <c r="N10" s="23"/>
      <c r="O10" s="23"/>
      <c r="P10" s="23"/>
      <c r="Q10" s="13"/>
    </row>
    <row r="11" spans="1:17">
      <c r="A11" s="7"/>
      <c r="B11" s="5">
        <f t="shared" si="0"/>
        <v>46084</v>
      </c>
      <c r="C11" s="10"/>
      <c r="D11" s="10"/>
      <c r="E11" s="10"/>
      <c r="F11" s="23"/>
      <c r="G11" s="23"/>
      <c r="H11" s="23"/>
      <c r="I11" s="23"/>
      <c r="J11" s="23"/>
      <c r="L11" s="23"/>
      <c r="M11" s="23"/>
      <c r="N11" s="23"/>
      <c r="O11" s="23"/>
      <c r="P11" s="23"/>
      <c r="Q11" s="13"/>
    </row>
    <row r="12" spans="1:17">
      <c r="A12" s="7"/>
      <c r="B12" s="5">
        <f t="shared" si="0"/>
        <v>46085</v>
      </c>
      <c r="C12" s="10"/>
      <c r="D12" s="10"/>
      <c r="E12" s="10"/>
      <c r="F12" s="23"/>
      <c r="G12" s="23"/>
      <c r="H12" s="23"/>
      <c r="I12" s="23"/>
      <c r="J12" s="23"/>
      <c r="L12" s="23"/>
      <c r="M12" s="23"/>
      <c r="N12" s="23"/>
      <c r="O12" s="23"/>
      <c r="P12" s="23"/>
      <c r="Q12" s="13"/>
    </row>
    <row r="13" spans="1:17">
      <c r="A13" s="7"/>
      <c r="B13" s="5">
        <f t="shared" si="0"/>
        <v>46086</v>
      </c>
      <c r="C13" s="11"/>
      <c r="D13" s="11"/>
      <c r="E13" s="11"/>
      <c r="F13" s="23"/>
      <c r="G13" s="23"/>
      <c r="H13" s="23"/>
      <c r="I13" s="23"/>
      <c r="J13" s="23"/>
      <c r="L13" s="23"/>
      <c r="M13" s="23"/>
      <c r="N13" s="23"/>
      <c r="O13" s="23"/>
      <c r="P13" s="23"/>
      <c r="Q13" s="13"/>
    </row>
    <row r="14" spans="1:17">
      <c r="A14" s="7"/>
      <c r="B14" s="5">
        <f t="shared" si="0"/>
        <v>46087</v>
      </c>
      <c r="C14" s="12" t="s">
        <v>551</v>
      </c>
      <c r="D14" s="13"/>
      <c r="E14" s="13"/>
      <c r="F14" s="23"/>
      <c r="G14" s="23"/>
      <c r="H14" s="23"/>
      <c r="I14" s="23"/>
      <c r="J14" s="23"/>
      <c r="L14" s="23"/>
      <c r="M14" s="23"/>
      <c r="N14" s="23"/>
      <c r="O14" s="23"/>
      <c r="P14" s="23"/>
      <c r="Q14" s="13"/>
    </row>
    <row r="15" spans="1:17">
      <c r="A15" s="14" t="s">
        <v>552</v>
      </c>
      <c r="B15" s="5">
        <f t="shared" ref="B14:B21" si="1">WORKDAY(B14,1)</f>
        <v>46090</v>
      </c>
      <c r="C15" s="12" t="s">
        <v>553</v>
      </c>
      <c r="D15" s="12" t="s">
        <v>554</v>
      </c>
      <c r="E15" s="13"/>
      <c r="F15" s="23"/>
      <c r="G15" s="23"/>
      <c r="H15" s="23"/>
      <c r="I15" s="23"/>
      <c r="J15" s="23"/>
      <c r="L15" s="23"/>
      <c r="M15" s="23"/>
      <c r="N15" s="23"/>
      <c r="O15" s="23"/>
      <c r="P15" s="23"/>
      <c r="Q15" s="13"/>
    </row>
    <row r="16" spans="1:17">
      <c r="A16" s="15"/>
      <c r="B16" s="5">
        <f t="shared" si="1"/>
        <v>46091</v>
      </c>
      <c r="C16" s="13"/>
      <c r="D16" s="12" t="s">
        <v>554</v>
      </c>
      <c r="E16" s="13"/>
      <c r="F16" s="23"/>
      <c r="G16" s="23"/>
      <c r="H16" s="23"/>
      <c r="I16" s="23"/>
      <c r="J16" s="23"/>
      <c r="L16" s="23"/>
      <c r="M16" s="23"/>
      <c r="N16" s="23"/>
      <c r="O16" s="23"/>
      <c r="P16" s="23"/>
      <c r="Q16" s="13"/>
    </row>
    <row r="17" spans="1:17">
      <c r="A17" s="15"/>
      <c r="B17" s="5">
        <f t="shared" si="1"/>
        <v>46092</v>
      </c>
      <c r="C17" s="13"/>
      <c r="D17" s="12" t="s">
        <v>555</v>
      </c>
      <c r="E17" s="12" t="s">
        <v>556</v>
      </c>
      <c r="F17" s="23"/>
      <c r="G17" s="23"/>
      <c r="H17" s="23"/>
      <c r="I17" s="23"/>
      <c r="J17" s="23"/>
      <c r="L17" s="23"/>
      <c r="M17" s="23"/>
      <c r="N17" s="23"/>
      <c r="O17" s="23"/>
      <c r="P17" s="23"/>
      <c r="Q17" s="13"/>
    </row>
    <row r="18" spans="1:17">
      <c r="A18" s="15"/>
      <c r="B18" s="5">
        <f t="shared" si="1"/>
        <v>46093</v>
      </c>
      <c r="C18" s="13"/>
      <c r="D18" s="12" t="s">
        <v>557</v>
      </c>
      <c r="E18" s="12" t="s">
        <v>556</v>
      </c>
      <c r="F18" s="23"/>
      <c r="G18" s="23"/>
      <c r="H18" s="23"/>
      <c r="I18" s="23"/>
      <c r="J18" s="23"/>
      <c r="L18" s="23"/>
      <c r="M18" s="23"/>
      <c r="N18" s="23"/>
      <c r="O18" s="23"/>
      <c r="P18" s="23"/>
      <c r="Q18" s="13"/>
    </row>
    <row r="19" spans="1:17">
      <c r="A19" s="15"/>
      <c r="B19" s="5">
        <f t="shared" si="1"/>
        <v>46094</v>
      </c>
      <c r="C19" s="13"/>
      <c r="D19" s="13"/>
      <c r="E19" s="12" t="s">
        <v>558</v>
      </c>
      <c r="F19" s="23"/>
      <c r="G19" s="23"/>
      <c r="H19" s="23"/>
      <c r="I19" s="23"/>
      <c r="J19" s="23"/>
      <c r="L19" s="23"/>
      <c r="M19" s="23"/>
      <c r="N19" s="23"/>
      <c r="O19" s="23"/>
      <c r="P19" s="23"/>
      <c r="Q19" s="13"/>
    </row>
    <row r="20" ht="33" spans="1:17">
      <c r="A20" s="16" t="s">
        <v>559</v>
      </c>
      <c r="B20" s="5">
        <f t="shared" si="1"/>
        <v>46097</v>
      </c>
      <c r="C20" s="12" t="s">
        <v>560</v>
      </c>
      <c r="D20" s="13"/>
      <c r="E20" s="6" t="s">
        <v>561</v>
      </c>
      <c r="F20" s="23"/>
      <c r="G20" s="23"/>
      <c r="H20" s="23"/>
      <c r="I20" s="23"/>
      <c r="J20" s="23"/>
      <c r="L20" s="23"/>
      <c r="M20" s="23"/>
      <c r="N20" s="23"/>
      <c r="O20" s="23"/>
      <c r="P20" s="23"/>
      <c r="Q20" s="13"/>
    </row>
    <row r="21" ht="36.85" customHeight="1" spans="1:17">
      <c r="A21" s="17"/>
      <c r="B21" s="5">
        <f t="shared" si="1"/>
        <v>46098</v>
      </c>
      <c r="C21" s="16" t="s">
        <v>562</v>
      </c>
      <c r="D21" s="16" t="s">
        <v>562</v>
      </c>
      <c r="E21" s="16" t="s">
        <v>562</v>
      </c>
      <c r="F21" s="23"/>
      <c r="G21" s="23"/>
      <c r="H21" s="23"/>
      <c r="I21" s="23"/>
      <c r="J21" s="23"/>
      <c r="L21" s="23"/>
      <c r="M21" s="23"/>
      <c r="N21" s="23"/>
      <c r="O21" s="23"/>
      <c r="P21" s="23"/>
      <c r="Q21" s="13"/>
    </row>
    <row r="22" ht="36.85" customHeight="1" spans="1:17">
      <c r="A22" s="17"/>
      <c r="B22" s="16" t="s">
        <v>562</v>
      </c>
      <c r="C22" s="16" t="s">
        <v>562</v>
      </c>
      <c r="D22" s="16" t="s">
        <v>562</v>
      </c>
      <c r="E22" s="16" t="s">
        <v>562</v>
      </c>
      <c r="F22" s="25"/>
      <c r="G22" s="25"/>
      <c r="H22" s="25"/>
      <c r="I22" s="25"/>
      <c r="J22" s="25"/>
      <c r="L22" s="25"/>
      <c r="M22" s="25"/>
      <c r="N22" s="25"/>
      <c r="O22" s="25"/>
      <c r="P22" s="25"/>
      <c r="Q22" s="13"/>
    </row>
    <row r="23" spans="6:10">
      <c r="F23" s="26"/>
      <c r="G23" s="26">
        <v>2</v>
      </c>
      <c r="H23" s="26"/>
      <c r="I23" s="26"/>
      <c r="J23" s="26"/>
    </row>
  </sheetData>
  <sheetProtection formatCells="0" insertHyperlinks="0" autoFilter="0"/>
  <mergeCells count="20">
    <mergeCell ref="C1:E1"/>
    <mergeCell ref="A1:A2"/>
    <mergeCell ref="A3:A14"/>
    <mergeCell ref="A15:A19"/>
    <mergeCell ref="A20:A22"/>
    <mergeCell ref="B1:B2"/>
    <mergeCell ref="C6:C13"/>
    <mergeCell ref="D6:D13"/>
    <mergeCell ref="E3:E5"/>
    <mergeCell ref="E6:E13"/>
    <mergeCell ref="F3:F22"/>
    <mergeCell ref="G3:G22"/>
    <mergeCell ref="H3:H22"/>
    <mergeCell ref="I3:I22"/>
    <mergeCell ref="J3:J22"/>
    <mergeCell ref="L3:L22"/>
    <mergeCell ref="M3:M22"/>
    <mergeCell ref="N3:N22"/>
    <mergeCell ref="O3:O22"/>
    <mergeCell ref="P3:P22"/>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allowEditUser xmlns="https://web.wps.cn/et/2018/main" xmlns:s="http://schemas.openxmlformats.org/spreadsheetml/2006/main" hasInvisiblePropRange="0">
  <rangeList sheetStid="1" master="AKRFnkkUtoTSeyJs:019908"/>
  <rangeList sheetStid="3" master=""/>
  <rangeList sheetStid="4" master=""/>
  <rangeList sheetStid="6" master=""/>
</allowEditUser>
</file>

<file path=customXml/item2.xml><?xml version="1.0" encoding="utf-8"?>
<dvExts xmlns="http://www.wps.cn/et/2023/dataValidationExt" xmlns:s="http://schemas.openxmlformats.org/spreadsheetml/2006/main">
  <dvExt uuid="{5543fad6-de82-49ba-b44f-49595aefac6e}">
    <list multiSupport="0" colorSupport="1"/>
  </dvExt>
  <dvExt uuid="{a24475e9-2440-487d-8b60-bcce40f9da1c}">
    <list multiSupport="1" colorSupport="1"/>
  </dvExt>
</dvExts>
</file>

<file path=customXml/item3.xml><?xml version="1.0" encoding="utf-8"?>
<autofilters xmlns="https://web.wps.cn/et/2018/main">
  <sheetItem sheetStid="1">
    <filterData filterID="AKRFnkkUtoTSeyJs:010713">
      <hiddenRange rowFrom="3" rowTo="3"/>
      <hiddenRange rowFrom="7" rowTo="8"/>
      <hiddenRange rowFrom="11" rowTo="12"/>
      <hiddenRange rowFrom="15" rowTo="15"/>
      <hiddenRange rowFrom="24" rowTo="25"/>
      <hiddenRange rowFrom="30" rowTo="31"/>
      <hiddenRange rowFrom="36" rowTo="36"/>
      <hiddenRange rowFrom="38" rowTo="59"/>
    </filterData>
    <filterData filterID="AKRFnkkUtoTSeyJs:017573">
      <hiddenRange rowFrom="1" rowTo="5"/>
      <hiddenRange rowFrom="8" rowTo="8"/>
      <hiddenRange rowFrom="12" rowTo="12"/>
      <hiddenRange rowFrom="15" rowTo="15"/>
      <hiddenRange rowFrom="17" rowTo="18"/>
      <hiddenRange rowFrom="22" rowTo="23"/>
      <hiddenRange rowFrom="27" rowTo="32"/>
      <hiddenRange rowFrom="34" rowTo="38"/>
      <hiddenRange rowFrom="40" rowTo="59"/>
    </filterData>
    <filterData filterID="AKRFnkkUtoTSeyJs:024868"/>
    <filterData filterID="AKRFnkkUtoTSeyJs:K1101894"/>
    <filterData filterID="AKRFnkkUtoTSeyJs:019747">
      <hiddenRange rowFrom="1" rowTo="2"/>
      <hiddenRange rowFrom="4" rowTo="6"/>
      <hiddenRange rowFrom="9" rowTo="13"/>
      <hiddenRange rowFrom="15" rowTo="15"/>
      <hiddenRange rowFrom="17" rowTo="18"/>
      <hiddenRange rowFrom="24" rowTo="25"/>
      <hiddenRange rowFrom="27" rowTo="36"/>
      <hiddenRange rowFrom="38" rowTo="59"/>
    </filterData>
    <filterData filterID="AKRFnkkUtoTSeyJs:019908"/>
    <filterData filterID="AKRFnkkUtoTSeyJs:017098">
      <hiddenRange rowFrom="1" rowTo="12"/>
      <hiddenRange rowFrom="14" rowTo="18"/>
      <hiddenRange rowFrom="21" rowTo="23"/>
      <hiddenRange rowFrom="26" rowTo="59"/>
    </filterData>
    <filterData filterID="AKRFnkkUtoTSeyJs:019642">
      <hiddenRange rowFrom="1" rowTo="13"/>
      <hiddenRange rowFrom="15" rowTo="15"/>
      <hiddenRange rowFrom="17" rowTo="18"/>
      <hiddenRange rowFrom="24" rowTo="25"/>
      <hiddenRange rowFrom="28" rowTo="33"/>
      <hiddenRange rowFrom="36" rowTo="36"/>
      <hiddenRange rowFrom="38" rowTo="59"/>
    </filterData>
    <filterData filterID="AKRFnkkUtoTSeyJs:018386"/>
    <filterData filterID="AKRFnkkUtoTSeyJs:019782">
      <hiddenRange rowFrom="1" rowTo="31"/>
      <hiddenRange rowFrom="33" rowTo="40"/>
      <hiddenRange rowFrom="42" rowTo="42"/>
      <hiddenRange rowFrom="44" rowTo="59"/>
    </filterData>
    <filterData filterID="AKRFnkkUtoTSeyJs:016516"/>
    <filterData filterID="AKRFnkkUtoTSeyJs:017833">
      <hiddenRange rowFrom="15" rowTo="22"/>
    </filterData>
    <filterData filterID="AKRFnkkUtoTSeyJs:019375">
      <hiddenRange rowFrom="1" rowTo="12"/>
      <hiddenRange rowFrom="14" rowTo="18"/>
      <hiddenRange rowFrom="21" rowTo="23"/>
      <hiddenRange rowFrom="26" rowTo="59"/>
    </filterData>
    <filterData filterID="AKRFnkkUtoTSeyJs:017230">
      <hiddenRange rowFrom="1" rowTo="2"/>
      <hiddenRange rowFrom="4" rowTo="6"/>
      <hiddenRange rowFrom="8" rowTo="13"/>
      <hiddenRange rowFrom="15" rowTo="25"/>
      <hiddenRange rowFrom="27" rowTo="38"/>
      <hiddenRange rowFrom="40" rowTo="59"/>
    </filterData>
    <filterData filterID="AKRFnkkUtoTSeyJs:019503">
      <hiddenRange rowFrom="1" rowTo="3"/>
      <hiddenRange rowFrom="5" rowTo="9"/>
      <hiddenRange rowFrom="12" rowTo="15"/>
      <hiddenRange rowFrom="17" rowTo="59"/>
    </filterData>
    <filterData filterID="AKRFnkkUtoTSeyJs:019227">
      <hiddenRange rowFrom="1" rowTo="13"/>
      <hiddenRange rowFrom="15" rowTo="15"/>
      <hiddenRange rowFrom="17" rowTo="18"/>
      <hiddenRange rowFrom="24" rowTo="25"/>
      <hiddenRange rowFrom="28" rowTo="33"/>
      <hiddenRange rowFrom="35" rowTo="36"/>
      <hiddenRange rowFrom="38" rowTo="59"/>
    </filterData>
    <filterData filterID="AKRFnkkUtoTSeyJs:018896">
      <hiddenRange rowFrom="1" rowTo="34"/>
      <hiddenRange rowFrom="38" rowTo="59"/>
    </filterData>
    <filterData filterID="AKRFnkkUtoTSeyJs:005772">
      <hiddenRange rowFrom="30" rowTo="33"/>
      <hiddenRange rowFrom="35" rowTo="36"/>
      <hiddenRange rowFrom="38" rowTo="59"/>
    </filterData>
    <filterData filterID="AKRFnkkUtoTSeyJs:015964">
      <hiddenRange rowFrom="1" rowTo="3"/>
      <hiddenRange rowFrom="5" rowTo="5"/>
      <hiddenRange rowFrom="12" rowTo="12"/>
      <hiddenRange rowFrom="14" rowTo="59"/>
    </filterData>
    <filterData filterID="AKRFnkkUtoTSeyJs:019521">
      <hiddenRange rowFrom="1" rowTo="5"/>
      <hiddenRange rowFrom="7" rowTo="8"/>
      <hiddenRange rowFrom="10" rowTo="13"/>
      <hiddenRange rowFrom="15" rowTo="32"/>
      <hiddenRange rowFrom="34" rowTo="59"/>
    </filterData>
    <filterData filterID="AKRFnkkUtoTSeyJs:017611">
      <hiddenRange rowFrom="1" rowTo="13"/>
      <hiddenRange rowFrom="15" rowTo="15"/>
      <hiddenRange rowFrom="17" rowTo="18"/>
      <hiddenRange rowFrom="24" rowTo="25"/>
      <hiddenRange rowFrom="27" rowTo="34"/>
      <hiddenRange rowFrom="38" rowTo="59"/>
    </filterData>
    <filterData filterID="AKRFnkkUtoTSeyJs:020057">
      <hiddenRange rowFrom="1" rowTo="2"/>
      <hiddenRange rowFrom="4" rowTo="6"/>
      <hiddenRange rowFrom="9" rowTo="20"/>
      <hiddenRange rowFrom="23" rowTo="25"/>
      <hiddenRange rowFrom="27" rowTo="38"/>
      <hiddenRange rowFrom="40" rowTo="59"/>
    </filterData>
    <filterData filterID="AKRFnkkUtoTSeyJs:023824"/>
    <filterData filterID="AKRFnkkUtoTSeyJs:012191">
      <hiddenRange rowFrom="1" rowTo="5"/>
      <hiddenRange rowFrom="7" rowTo="8"/>
      <hiddenRange rowFrom="12" rowTo="12"/>
      <hiddenRange rowFrom="14" rowTo="23"/>
      <hiddenRange rowFrom="26" rowTo="32"/>
      <hiddenRange rowFrom="34" rowTo="59"/>
    </filterData>
    <filterData filterID="AKRFnkkUtoTSeyJs:018372">
      <hiddenRange rowFrom="1" rowTo="5"/>
      <hiddenRange rowFrom="7" rowTo="8"/>
      <hiddenRange rowFrom="12" rowTo="12"/>
      <hiddenRange rowFrom="14" rowTo="15"/>
      <hiddenRange rowFrom="17" rowTo="18"/>
      <hiddenRange rowFrom="21" rowTo="23"/>
      <hiddenRange rowFrom="26" rowTo="32"/>
      <hiddenRange rowFrom="34" rowTo="59"/>
    </filterData>
    <filterData filterID="AKRFnkkUtoTSeyJs:024796">
      <hiddenRange rowFrom="1" rowTo="3"/>
      <hiddenRange rowFrom="5" rowTo="5"/>
      <hiddenRange rowFrom="7" rowTo="9"/>
      <hiddenRange rowFrom="12" rowTo="13"/>
      <hiddenRange rowFrom="15" rowTo="15"/>
      <hiddenRange rowFrom="17" rowTo="18"/>
      <hiddenRange rowFrom="25" rowTo="25"/>
      <hiddenRange rowFrom="27" rowTo="31"/>
      <hiddenRange rowFrom="34" rowTo="36"/>
      <hiddenRange rowFrom="38" rowTo="59"/>
    </filterData>
    <filterData filterID="AKRFnkkUtoTSeyJs:022651">
      <hiddenRange rowFrom="2" rowTo="3"/>
      <hiddenRange rowFrom="8" rowTo="8"/>
      <hiddenRange rowFrom="18" rowTo="18"/>
      <hiddenRange rowFrom="27" rowTo="27"/>
      <hiddenRange rowFrom="30" rowTo="31"/>
      <hiddenRange rowFrom="33" rowTo="33"/>
      <hiddenRange rowFrom="36" rowTo="36"/>
      <hiddenRange rowFrom="38" rowTo="59"/>
    </filterData>
    <filterData filterID="AKRFnkkUtoTSeyJs:018458"/>
    <filterData filterID="AKRFnkkUtoTSeyJs:019040">
      <hiddenRange rowFrom="3" rowTo="4"/>
      <hiddenRange rowFrom="6" rowTo="11"/>
      <hiddenRange rowFrom="13" rowTo="16"/>
      <hiddenRange rowFrom="18" rowTo="26"/>
      <hiddenRange rowFrom="28" rowTo="59"/>
    </filterData>
    <filterData filterID="AKRFnkkUtoTSeyJs:025246"/>
    <filterData filterID="AKRFnkkUtoTSeyJs:017436">
      <hiddenRange rowFrom="1" rowTo="31"/>
      <hiddenRange rowFrom="34" rowTo="40"/>
      <hiddenRange rowFrom="42" rowTo="42"/>
      <hiddenRange rowFrom="44" rowTo="59"/>
    </filterData>
    <filterData filterID="AKRFnkkUtoTSeyJs:016900">
      <hiddenRange rowFrom="3" rowTo="4"/>
      <hiddenRange rowFrom="6" rowTo="11"/>
      <hiddenRange rowFrom="13" rowTo="16"/>
      <hiddenRange rowFrom="19" rowTo="59"/>
    </filterData>
    <autofilterInfo filterID="AKRFnkkUtoTSeyJs:017436">
      <autoFilter xmlns="http://schemas.openxmlformats.org/spreadsheetml/2006/main" ref="A1:U60">
        <filterColumn colId="0">
          <customFilters>
            <customFilter operator="equal" val="信息技术部"/>
          </customFilters>
        </filterColumn>
        <filterColumn colId="14">
          <customFilters>
            <customFilter operator="equal" val="戚挺"/>
            <customFilter operator="equal" val="王轮樟"/>
          </customFilters>
        </filterColumn>
      </autoFilter>
    </autofilterInfo>
    <autofilterInfo filterID="AKRFnkkUtoTSeyJs:019747">
      <autoFilter xmlns="http://schemas.openxmlformats.org/spreadsheetml/2006/main" ref="A1:U60">
        <filterColumn colId="13">
          <customFilters>
            <customFilter operator="equal" val="刘佩金"/>
          </customFilters>
        </filterColumn>
      </autoFilter>
    </autofilterInfo>
    <autofilterInfo filterID="AKRFnkkUtoTSeyJs:019521">
      <autoFilter xmlns="http://schemas.openxmlformats.org/spreadsheetml/2006/main" ref="A1:U60">
        <filterColumn colId="13">
          <customFilters>
            <customFilter operator="equal" val="曾慧聪"/>
          </customFilters>
        </filterColumn>
      </autoFilter>
    </autofilterInfo>
    <autofilterInfo filterID="AKRFnkkUtoTSeyJs:017611">
      <autoFilter xmlns="http://schemas.openxmlformats.org/spreadsheetml/2006/main" ref="A1:U60">
        <filterColumn colId="13">
          <customFilters>
            <customFilter operator="equal" val="姜玉珠"/>
          </customFilters>
        </filterColumn>
      </autoFilter>
    </autofilterInfo>
    <autofilterInfo filterID="AKRFnkkUtoTSeyJs:017230">
      <autoFilter xmlns="http://schemas.openxmlformats.org/spreadsheetml/2006/main" ref="A1:U60">
        <filterColumn colId="14">
          <filters>
            <filter val="姚忠兵"/>
            <filter val="待定"/>
            <filter val="张天翼"/>
          </filters>
        </filterColumn>
        <filterColumn colId="17">
          <customFilters>
            <customFilter operator="equal" val="是"/>
          </customFilters>
        </filterColumn>
      </autoFilter>
    </autofilterInfo>
    <autofilterInfo filterID="AKRFnkkUtoTSeyJs:019503">
      <autoFilter xmlns="http://schemas.openxmlformats.org/spreadsheetml/2006/main" ref="A1:U60">
        <filterColumn colId="8">
          <customFilters>
            <customFilter operator="equal" val="做市业务中心"/>
          </customFilters>
        </filterColumn>
      </autoFilter>
    </autofilterInfo>
    <autofilterInfo filterID="AKRFnkkUtoTSeyJs:018896">
      <autoFilter xmlns="http://schemas.openxmlformats.org/spreadsheetml/2006/main" ref="A1:U60">
        <filterColumn colId="13">
          <customFilters>
            <customFilter operator="equal" val="姜玉珠"/>
          </customFilters>
        </filterColumn>
      </autoFilter>
    </autofilterInfo>
    <autofilterInfo filterID="AKRFnkkUtoTSeyJs:005772">
      <autoFilter xmlns="http://schemas.openxmlformats.org/spreadsheetml/2006/main" ref="A1:U60">
        <filterColumn colId="0">
          <filters>
            <filter val="香港金控FICC"/>
            <filter val="中央交易室"/>
            <filter val="资金运营部"/>
            <filter val="固定收益部"/>
          </filters>
        </filterColumn>
        <filterColumn colId="14">
          <filters>
            <filter val="陈治平"/>
            <filter val="姚忠兵"/>
            <filter val="张弦"/>
            <filter val="戚挺"/>
            <filter val="张天翼"/>
            <filter val="王轮樟"/>
          </filters>
        </filterColumn>
      </autoFilter>
    </autofilterInfo>
    <autofilterInfo filterID="AKRFnkkUtoTSeyJs:019227">
      <autoFilter xmlns="http://schemas.openxmlformats.org/spreadsheetml/2006/main" ref="A1:U60">
        <filterColumn colId="14">
          <customFilters>
            <customFilter operator="equal" val="毕成功"/>
          </customFilters>
        </filterColumn>
      </autoFilter>
    </autofilterInfo>
    <autofilterInfo filterID="AKRFnkkUtoTSeyJs:015964">
      <autoFilter xmlns="http://schemas.openxmlformats.org/spreadsheetml/2006/main" ref="A1:U60">
        <filterColumn colId="8">
          <filters>
            <filter val="流动性管理中心"/>
            <filter val="自营业务中心"/>
            <filter val="做市业务中心"/>
            <filter val="风险合规中心"/>
          </filters>
        </filterColumn>
        <filterColumn colId="12">
          <customFilters>
            <customFilter operator="equal" val="在研-优先级0"/>
          </customFilters>
        </filterColumn>
      </autoFilter>
    </autofilterInfo>
    <autofilterInfo filterID="AKRFnkkUtoTSeyJs:010713">
      <autoFilter xmlns="http://schemas.openxmlformats.org/spreadsheetml/2006/main" ref="A1:U60">
        <filterColumn colId="17">
          <customFilters>
            <customFilter operator="equal" val="是"/>
          </customFilters>
        </filterColumn>
      </autoFilter>
    </autofilterInfo>
    <autofilterInfo filterID="AKRFnkkUtoTSeyJs:019040">
      <autoFilter xmlns="http://schemas.openxmlformats.org/spreadsheetml/2006/main" ref="A1:U60">
        <filterColumn colId="13">
          <customFilters>
            <customFilter operator="equal" val="夏清"/>
          </customFilters>
        </filterColumn>
      </autoFilter>
    </autofilterInfo>
    <autofilterInfo filterID="AKRFnkkUtoTSeyJs:019375">
      <autoFilter xmlns="http://schemas.openxmlformats.org/spreadsheetml/2006/main" ref="A1:U60">
        <filterColumn colId="13">
          <customFilters>
            <customFilter operator="equal" val="成楠"/>
          </customFilters>
        </filterColumn>
      </autoFilter>
    </autofilterInfo>
    <autofilterInfo filterID="AKRFnkkUtoTSeyJs:017833">
      <autoFilter xmlns="http://schemas.openxmlformats.org/spreadsheetml/2006/main" ref="A1:U60">
        <filterColumn colId="17">
          <customFilters>
            <customFilter operator="equal" val=""/>
            <customFilter operator="equal" val="是"/>
          </customFilters>
        </filterColumn>
      </autoFilter>
    </autofilterInfo>
    <autofilterInfo filterID="AKRFnkkUtoTSeyJs:012191">
      <autoFilter xmlns="http://schemas.openxmlformats.org/spreadsheetml/2006/main" ref="A1:U60">
        <filterColumn colId="14">
          <customFilters>
            <customFilter operator="equal" val="戚挺"/>
          </customFilters>
        </filterColumn>
        <filterColumn colId="17">
          <customFilters>
            <customFilter operator="equal" val="是"/>
          </customFilters>
        </filterColumn>
      </autoFilter>
    </autofilterInfo>
    <autofilterInfo filterID="AKRFnkkUtoTSeyJs:018372">
      <autoFilter xmlns="http://schemas.openxmlformats.org/spreadsheetml/2006/main" ref="A1:U60">
        <filterColumn colId="14">
          <customFilters>
            <customFilter operator="equal" val="戚挺"/>
          </customFilters>
        </filterColumn>
      </autoFilter>
    </autofilterInfo>
    <autofilterInfo filterID="AKRFnkkUtoTSeyJs:022651">
      <autoFilter xmlns="http://schemas.openxmlformats.org/spreadsheetml/2006/main" ref="A1:U60">
        <filterColumn colId="14">
          <filters>
            <filter val="姚忠兵"/>
            <filter val="张弦"/>
            <filter val="戚挺"/>
            <filter val="王轮樟"/>
          </filters>
        </filterColumn>
      </autoFilter>
    </autofilterInfo>
    <autofilterInfo filterID="AKRFnkkUtoTSeyJs:024796">
      <autoFilter xmlns="http://schemas.openxmlformats.org/spreadsheetml/2006/main" ref="A1:U60">
        <filterColumn colId="14">
          <customFilters>
            <customFilter operator="equal" val="戚挺"/>
            <customFilter operator="equal" val="王轮樟"/>
          </customFilters>
        </filterColumn>
        <filterColumn colId="17">
          <customFilters>
            <customFilter operator="equal" val="是"/>
          </customFilters>
        </filterColumn>
      </autoFilter>
    </autofilterInfo>
    <autofilterInfo filterID="AKRFnkkUtoTSeyJs:020057">
      <autoFilter xmlns="http://schemas.openxmlformats.org/spreadsheetml/2006/main" ref="A1:U60">
        <filterColumn colId="13">
          <customFilters>
            <customFilter operator="equal" val="刘佩金"/>
          </customFilters>
        </filterColumn>
      </autoFilter>
    </autofilterInfo>
    <autofilterInfo filterID="AKRFnkkUtoTSeyJs:017573">
      <autoFilter xmlns="http://schemas.openxmlformats.org/spreadsheetml/2006/main" ref="A1:U60">
        <filterColumn colId="14">
          <customFilters>
            <customFilter operator="equal" val="戚挺"/>
            <customFilter operator="equal" val="姚忠兵"/>
          </customFilters>
        </filterColumn>
      </autoFilter>
    </autofilterInfo>
    <autofilterInfo filterID="AKRFnkkUtoTSeyJs:019642">
      <autoFilter xmlns="http://schemas.openxmlformats.org/spreadsheetml/2006/main" ref="A1:U60">
        <filterColumn colId="14">
          <customFilters>
            <customFilter operator="equal" val="毕成功"/>
          </customFilters>
        </filterColumn>
      </autoFilter>
    </autofilterInfo>
    <autofilterInfo filterID="AKRFnkkUtoTSeyJs:017098">
      <autoFilter xmlns="http://schemas.openxmlformats.org/spreadsheetml/2006/main" ref="A1:U60">
        <filterColumn colId="13">
          <customFilters>
            <customFilter operator="equal" val="成楠"/>
          </customFilters>
        </filterColumn>
        <filterColumn colId="14">
          <filters>
            <filter val="张弦"/>
            <filter val="张俊"/>
            <filter val="戚挺"/>
            <filter val="王轮樟"/>
          </filters>
        </filterColumn>
      </autoFilter>
    </autofilterInfo>
    <autofilterInfo filterID="AKRFnkkUtoTSeyJs:019782">
      <autoFilter xmlns="http://schemas.openxmlformats.org/spreadsheetml/2006/main" ref="A1:U60">
        <filterColumn colId="13">
          <customFilters>
            <customFilter operator="equal" val="钱高翔"/>
            <customFilter operator="equal" val="朱泓飞"/>
          </customFilters>
        </filterColumn>
        <filterColumn colId="14">
          <customFilters>
            <customFilter operator="equal" val="戚挺"/>
            <customFilter operator="equal" val="王轮樟"/>
          </customFilters>
        </filterColumn>
      </autoFilter>
    </autofilterInfo>
    <autofilterInfo filterID="AKRFnkkUtoTSeyJs:016900">
      <autoFilter xmlns="http://schemas.openxmlformats.org/spreadsheetml/2006/main" ref="A1:U60">
        <filterColumn colId="14">
          <customFilters>
            <customFilter operator="equal" val="张弦"/>
          </customFilters>
        </filterColumn>
      </autoFilter>
    </autofilterInfo>
  </sheetItem>
  <sheetItem sheetStid="3">
    <filterData filterID="AKRFnkkUtoTSeyJs:022651">
      <hiddenRange rowFrom="2" rowTo="3"/>
      <hiddenRange rowFrom="8" rowTo="38"/>
      <hiddenRange rowFrom="40" rowTo="70"/>
    </filterData>
    <filterData filterID="AKRFnkkUtoTSeyJs:017444">
      <hiddenRange rowFrom="2" rowTo="6"/>
      <hiddenRange rowFrom="8" rowTo="8"/>
      <hiddenRange rowFrom="10" rowTo="16"/>
      <hiddenRange rowFrom="21" rowTo="24"/>
      <hiddenRange rowFrom="26" rowTo="29"/>
      <hiddenRange rowFrom="31" rowTo="31"/>
      <hiddenRange rowFrom="33" rowTo="36"/>
      <hiddenRange rowFrom="41" rowTo="70"/>
    </filterData>
    <filterData filterID="AKRFnkkUtoTSeyJs:017436">
      <hiddenRange rowFrom="2" rowTo="6"/>
      <hiddenRange rowFrom="10" rowTo="11"/>
      <hiddenRange rowFrom="13" rowTo="14"/>
      <hiddenRange rowFrom="21" rowTo="21"/>
      <hiddenRange rowFrom="23" rowTo="23"/>
      <hiddenRange rowFrom="25" rowTo="25"/>
      <hiddenRange rowFrom="28" rowTo="29"/>
      <hiddenRange rowFrom="33" rowTo="35"/>
      <hiddenRange rowFrom="37" rowTo="37"/>
      <hiddenRange rowFrom="42" rowTo="43"/>
      <hiddenRange rowFrom="45" rowTo="45"/>
      <hiddenRange rowFrom="47" rowTo="70"/>
    </filterData>
    <filterData filterID="AKRFnkkUtoTSeyJs:024868">
      <hiddenRange rowFrom="2" rowTo="6"/>
      <hiddenRange rowFrom="8" rowTo="8"/>
      <hiddenRange rowFrom="10" rowTo="16"/>
      <hiddenRange rowFrom="18" rowTo="19"/>
      <hiddenRange rowFrom="21" rowTo="24"/>
      <hiddenRange rowFrom="26" rowTo="29"/>
      <hiddenRange rowFrom="31" rowTo="31"/>
      <hiddenRange rowFrom="33" rowTo="35"/>
      <hiddenRange rowFrom="41" rowTo="70"/>
    </filterData>
    <filterData filterID="AKRFnkkUtoTSeyJs:017518"/>
    <filterData filterID="AKRFnkkUtoTSeyJs:012191">
      <hiddenRange rowFrom="4" rowTo="5"/>
      <hiddenRange rowFrom="8" rowTo="8"/>
      <hiddenRange rowFrom="12" rowTo="20"/>
      <hiddenRange rowFrom="22" rowTo="23"/>
      <hiddenRange rowFrom="25" rowTo="38"/>
      <hiddenRange rowFrom="40" rowTo="40"/>
      <hiddenRange rowFrom="42" rowTo="43"/>
      <hiddenRange rowFrom="45" rowTo="45"/>
      <hiddenRange rowFrom="47" rowTo="70"/>
    </filterData>
    <filterData filterID="AKRFnkkUtoTSeyJs:019747">
      <hiddenRange rowFrom="2" rowTo="2"/>
      <hiddenRange rowFrom="25" rowTo="25"/>
      <hiddenRange rowFrom="27" rowTo="27"/>
      <hiddenRange rowFrom="30" rowTo="30"/>
      <hiddenRange rowFrom="33" rowTo="33"/>
      <hiddenRange rowFrom="36" rowTo="36"/>
      <hiddenRange rowFrom="38" rowTo="38"/>
      <hiddenRange rowFrom="49" rowTo="49"/>
      <hiddenRange rowFrom="52" rowTo="52"/>
      <hiddenRange rowFrom="54" rowTo="54"/>
      <hiddenRange rowFrom="58" rowTo="58"/>
    </filterData>
    <filterData filterID="AKRFnkkUtoTSeyJs:019089">
      <hiddenRange rowFrom="2" rowTo="4"/>
      <hiddenRange rowFrom="12" rowTo="12"/>
      <hiddenRange rowFrom="14" rowTo="15"/>
      <hiddenRange rowFrom="18" rowTo="19"/>
      <hiddenRange rowFrom="21" rowTo="22"/>
      <hiddenRange rowFrom="25" rowTo="25"/>
      <hiddenRange rowFrom="27" rowTo="31"/>
      <hiddenRange rowFrom="33" rowTo="33"/>
      <hiddenRange rowFrom="35" rowTo="38"/>
      <hiddenRange rowFrom="40" rowTo="40"/>
      <hiddenRange rowFrom="43" rowTo="43"/>
      <hiddenRange rowFrom="45" rowTo="45"/>
      <hiddenRange rowFrom="47" rowTo="50"/>
      <hiddenRange rowFrom="54" rowTo="70"/>
    </filterData>
    <filterData filterID="AKRFnkkUtoTSeyJs:017573">
      <hiddenRange rowFrom="2" rowTo="4"/>
      <hiddenRange rowFrom="8" rowTo="8"/>
      <hiddenRange rowFrom="10" rowTo="10"/>
      <hiddenRange rowFrom="13" rowTo="15"/>
      <hiddenRange rowFrom="18" rowTo="19"/>
      <hiddenRange rowFrom="21" rowTo="21"/>
      <hiddenRange rowFrom="23" rowTo="23"/>
      <hiddenRange rowFrom="26" rowTo="26"/>
      <hiddenRange rowFrom="28" rowTo="31"/>
      <hiddenRange rowFrom="33" rowTo="38"/>
      <hiddenRange rowFrom="40" rowTo="40"/>
      <hiddenRange rowFrom="42" rowTo="43"/>
      <hiddenRange rowFrom="45" rowTo="45"/>
      <hiddenRange rowFrom="47" rowTo="70"/>
    </filterData>
    <filterData filterID="AKRFnkkUtoTSeyJs:016900">
      <hiddenRange rowFrom="2" rowTo="6"/>
      <hiddenRange rowFrom="8" rowTo="8"/>
      <hiddenRange rowFrom="10" rowTo="16"/>
      <hiddenRange rowFrom="18" rowTo="19"/>
      <hiddenRange rowFrom="21" rowTo="23"/>
      <hiddenRange rowFrom="25" rowTo="28"/>
      <hiddenRange rowFrom="31" rowTo="31"/>
      <hiddenRange rowFrom="33" rowTo="35"/>
      <hiddenRange rowFrom="37" rowTo="37"/>
      <hiddenRange rowFrom="41" rowTo="43"/>
      <hiddenRange rowFrom="45" rowTo="45"/>
      <hiddenRange rowFrom="47" rowTo="70"/>
    </filterData>
    <filterData filterID="AKRFnkkUtoTSeyJs:017164"/>
    <filterData filterID="AKRFnkkUtoTSeyJs:018303">
      <hiddenRange rowFrom="2" rowTo="4"/>
      <hiddenRange rowFrom="8" rowTo="8"/>
      <hiddenRange rowFrom="10" rowTo="10"/>
      <hiddenRange rowFrom="12" rowTo="12"/>
      <hiddenRange rowFrom="14" rowTo="15"/>
      <hiddenRange rowFrom="18" rowTo="19"/>
      <hiddenRange rowFrom="21" rowTo="23"/>
      <hiddenRange rowFrom="25" rowTo="27"/>
      <hiddenRange rowFrom="29" rowTo="31"/>
      <hiddenRange rowFrom="33" rowTo="33"/>
      <hiddenRange rowFrom="35" rowTo="35"/>
      <hiddenRange rowFrom="37" rowTo="38"/>
      <hiddenRange rowFrom="42" rowTo="43"/>
      <hiddenRange rowFrom="45" rowTo="45"/>
      <hiddenRange rowFrom="47" rowTo="54"/>
      <hiddenRange rowFrom="56" rowTo="57"/>
      <hiddenRange rowFrom="59" rowTo="59"/>
      <hiddenRange rowFrom="63" rowTo="65"/>
      <hiddenRange rowFrom="68" rowTo="68"/>
    </filterData>
    <filterData filterID="AKRFnkkUtoTSeyJs:023824"/>
    <filterData filterID="AKRFnkkUtoTSeyJs:K1102051">
      <hiddenRange rowFrom="2" rowTo="4"/>
      <hiddenRange rowFrom="6" rowTo="12"/>
      <hiddenRange rowFrom="15" rowTo="15"/>
      <hiddenRange rowFrom="17" rowTo="27"/>
      <hiddenRange rowFrom="29" rowTo="38"/>
      <hiddenRange rowFrom="40" rowTo="47"/>
      <hiddenRange rowFrom="51" rowTo="70"/>
    </filterData>
    <filterData filterID="AKRFnkkUtoTSeyJs:019908"/>
    <filterData filterID="AKRFnkkUtoTSeyJs:017098">
      <hiddenRange rowFrom="2" rowTo="4"/>
      <hiddenRange rowFrom="10" rowTo="10"/>
      <hiddenRange rowFrom="12" rowTo="12"/>
      <hiddenRange rowFrom="18" rowTo="19"/>
      <hiddenRange rowFrom="22" rowTo="22"/>
      <hiddenRange rowFrom="25" rowTo="29"/>
      <hiddenRange rowFrom="31" rowTo="31"/>
      <hiddenRange rowFrom="36" rowTo="36"/>
      <hiddenRange rowFrom="43" rowTo="43"/>
      <hiddenRange rowFrom="45" rowTo="45"/>
      <hiddenRange rowFrom="52" rowTo="55"/>
      <hiddenRange rowFrom="58" rowTo="67"/>
    </filterData>
    <filterData filterID="AKRFnkkUtoTSeyJs:017833">
      <hiddenRange rowFrom="23" rowTo="23"/>
      <hiddenRange rowFrom="26" rowTo="28"/>
      <hiddenRange rowFrom="36" rowTo="36"/>
      <hiddenRange rowFrom="43" rowTo="43"/>
    </filterData>
    <filterData filterID="AKRFnkkUtoTSeyJs:012729"/>
    <filterData filterID="AKRFnkkUtoTSeyJs:019375"/>
    <filterData filterID="AKRFnkkUtoTSeyJs:020013">
      <hiddenRange rowFrom="2" rowTo="3"/>
      <hiddenRange rowFrom="8" rowTo="8"/>
      <hiddenRange rowFrom="14" rowTo="14"/>
      <hiddenRange rowFrom="19" rowTo="19"/>
      <hiddenRange rowFrom="22" rowTo="23"/>
      <hiddenRange rowFrom="25" rowTo="25"/>
      <hiddenRange rowFrom="27" rowTo="27"/>
      <hiddenRange rowFrom="33" rowTo="33"/>
      <hiddenRange rowFrom="36" rowTo="36"/>
      <hiddenRange rowFrom="38" rowTo="38"/>
      <hiddenRange rowFrom="43" rowTo="43"/>
      <hiddenRange rowFrom="52" rowTo="52"/>
      <hiddenRange rowFrom="54" rowTo="54"/>
      <hiddenRange rowFrom="56" rowTo="56"/>
      <hiddenRange rowFrom="58" rowTo="58"/>
      <hiddenRange rowFrom="60" rowTo="61"/>
    </filterData>
    <filterData filterID="AKRFnkkUtoTSeyJs:018386">
      <hiddenRange rowFrom="2" rowTo="7"/>
      <hiddenRange rowFrom="10" rowTo="29"/>
      <hiddenRange rowFrom="31" rowTo="35"/>
      <hiddenRange rowFrom="37" rowTo="37"/>
      <hiddenRange rowFrom="39" rowTo="39"/>
      <hiddenRange rowFrom="42" rowTo="70"/>
    </filterData>
    <filterData filterID="AKRFnkkUtoTSeyJs:019782">
      <hiddenRange rowFrom="2" rowTo="6"/>
      <hiddenRange rowFrom="8" rowTo="8"/>
      <hiddenRange rowFrom="10" rowTo="16"/>
      <hiddenRange rowFrom="18" rowTo="19"/>
      <hiddenRange rowFrom="21" rowTo="24"/>
      <hiddenRange rowFrom="26" rowTo="29"/>
      <hiddenRange rowFrom="31" rowTo="31"/>
      <hiddenRange rowFrom="33" rowTo="35"/>
      <hiddenRange rowFrom="41" rowTo="70"/>
    </filterData>
    <filterData filterID="AKRFnkkUtoTSeyJs:019521"/>
    <filterData filterID="AKRFnkkUtoTSeyJs:016882">
      <hiddenRange rowFrom="2" rowTo="2"/>
      <hiddenRange rowFrom="25" rowTo="25"/>
      <hiddenRange rowFrom="27" rowTo="27"/>
      <hiddenRange rowFrom="33" rowTo="33"/>
      <hiddenRange rowFrom="36" rowTo="36"/>
      <hiddenRange rowFrom="38" rowTo="38"/>
      <hiddenRange rowFrom="43" rowTo="43"/>
      <hiddenRange rowFrom="49" rowTo="49"/>
      <hiddenRange rowFrom="52" rowTo="52"/>
      <hiddenRange rowFrom="54" rowTo="54"/>
    </filterData>
    <filterData filterID="AKRFnkkUtoTSeyJs:018896">
      <hiddenRange rowFrom="2" rowTo="5"/>
      <hiddenRange rowFrom="7" rowTo="40"/>
      <hiddenRange rowFrom="47" rowTo="70"/>
    </filterData>
    <filterData filterID="AKRFnkkUtoTSeyJs:019227">
      <hiddenRange rowFrom="2" rowTo="4"/>
      <hiddenRange rowFrom="8" rowTo="8"/>
      <hiddenRange rowFrom="10" rowTo="10"/>
      <hiddenRange rowFrom="12" rowTo="15"/>
      <hiddenRange rowFrom="18" rowTo="19"/>
      <hiddenRange rowFrom="21" rowTo="23"/>
      <hiddenRange rowFrom="25" rowTo="31"/>
      <hiddenRange rowFrom="33" rowTo="35"/>
      <hiddenRange rowFrom="38" rowTo="38"/>
      <hiddenRange rowFrom="40" rowTo="40"/>
      <hiddenRange rowFrom="42" rowTo="43"/>
      <hiddenRange rowFrom="45" rowTo="45"/>
      <hiddenRange rowFrom="47" rowTo="57"/>
      <hiddenRange rowFrom="59" rowTo="59"/>
      <hiddenRange rowFrom="63" rowTo="65"/>
      <hiddenRange rowFrom="68" rowTo="70"/>
    </filterData>
    <filterData filterID="AKRFnkkUtoTSeyJs:015964"/>
    <filterData filterID="AKRFnkkUtoTSeyJs:018110">
      <hiddenRange rowFrom="2" rowTo="3"/>
      <hiddenRange rowFrom="8" rowTo="12"/>
      <hiddenRange rowFrom="15" rowTo="23"/>
      <hiddenRange rowFrom="25" rowTo="27"/>
      <hiddenRange rowFrom="29" rowTo="38"/>
      <hiddenRange rowFrom="40" rowTo="43"/>
      <hiddenRange rowFrom="45" rowTo="45"/>
      <hiddenRange rowFrom="47" rowTo="47"/>
      <hiddenRange rowFrom="50" rowTo="70"/>
    </filterData>
    <filterData filterID="AKRFnkkUtoTSeyJs:019503"/>
    <filterData filterID="AKRFnkkUtoTSeyJs:019769">
      <hiddenRange rowFrom="4" rowTo="4"/>
      <hiddenRange rowFrom="8" rowTo="8"/>
      <hiddenRange rowFrom="10" rowTo="10"/>
      <hiddenRange rowFrom="12" rowTo="12"/>
      <hiddenRange rowFrom="14" rowTo="15"/>
      <hiddenRange rowFrom="18" rowTo="18"/>
      <hiddenRange rowFrom="22" rowTo="23"/>
      <hiddenRange rowFrom="25" rowTo="31"/>
      <hiddenRange rowFrom="33" rowTo="33"/>
      <hiddenRange rowFrom="35" rowTo="38"/>
      <hiddenRange rowFrom="40" rowTo="40"/>
      <hiddenRange rowFrom="42" rowTo="43"/>
      <hiddenRange rowFrom="45" rowTo="45"/>
      <hiddenRange rowFrom="47" rowTo="53"/>
      <hiddenRange rowFrom="55" rowTo="63"/>
      <hiddenRange rowFrom="66" rowTo="70"/>
    </filterData>
    <filterData filterID="AKRFnkkUtoTSeyJs:020057">
      <hiddenRange rowFrom="2" rowTo="5"/>
      <hiddenRange rowFrom="8" rowTo="23"/>
      <hiddenRange rowFrom="25" rowTo="38"/>
      <hiddenRange rowFrom="40" rowTo="40"/>
      <hiddenRange rowFrom="47" rowTo="70"/>
    </filterData>
    <filterData filterID="AKRFnkkUtoTSeyJs:010713">
      <hiddenRange rowFrom="2" rowTo="4"/>
      <hiddenRange rowFrom="8" rowTo="8"/>
      <hiddenRange rowFrom="10" rowTo="10"/>
      <hiddenRange rowFrom="12" rowTo="15"/>
      <hiddenRange rowFrom="18" rowTo="19"/>
      <hiddenRange rowFrom="21" rowTo="23"/>
      <hiddenRange rowFrom="25" rowTo="31"/>
      <hiddenRange rowFrom="33" rowTo="38"/>
      <hiddenRange rowFrom="40" rowTo="40"/>
      <hiddenRange rowFrom="42" rowTo="43"/>
      <hiddenRange rowFrom="45" rowTo="45"/>
      <hiddenRange rowFrom="47" rowTo="48"/>
      <hiddenRange rowFrom="50" rowTo="70"/>
    </filterData>
    <filterData filterID="AKRFnkkUtoTSeyJs:025172">
      <hiddenRange rowFrom="2" rowTo="2"/>
      <hiddenRange rowFrom="25" rowTo="25"/>
      <hiddenRange rowFrom="27" rowTo="27"/>
      <hiddenRange rowFrom="33" rowTo="33"/>
      <hiddenRange rowFrom="36" rowTo="36"/>
      <hiddenRange rowFrom="38" rowTo="38"/>
      <hiddenRange rowFrom="43" rowTo="43"/>
      <hiddenRange rowFrom="49" rowTo="49"/>
      <hiddenRange rowFrom="52" rowTo="52"/>
      <hiddenRange rowFrom="54" rowTo="54"/>
    </filterData>
    <filterData filterID="AKRFnkkUtoTSeyJs:018458">
      <hiddenRange rowFrom="2" rowTo="3"/>
      <hiddenRange rowFrom="8" rowTo="8"/>
      <hiddenRange rowFrom="14" rowTo="14"/>
      <hiddenRange rowFrom="19" rowTo="19"/>
      <hiddenRange rowFrom="22" rowTo="23"/>
      <hiddenRange rowFrom="26" rowTo="27"/>
      <hiddenRange rowFrom="30" rowTo="30"/>
      <hiddenRange rowFrom="36" rowTo="36"/>
      <hiddenRange rowFrom="38" rowTo="38"/>
      <hiddenRange rowFrom="42" rowTo="43"/>
      <hiddenRange rowFrom="45" rowTo="45"/>
      <hiddenRange rowFrom="49" rowTo="49"/>
      <hiddenRange rowFrom="52" rowTo="52"/>
      <hiddenRange rowFrom="54" rowTo="54"/>
      <hiddenRange rowFrom="56" rowTo="56"/>
      <hiddenRange rowFrom="58" rowTo="58"/>
      <hiddenRange rowFrom="60" rowTo="61"/>
    </filterData>
    <filterData filterID="AKRFnkkUtoTSeyJs:019040">
      <hiddenRange rowFrom="4" rowTo="9"/>
      <hiddenRange rowFrom="12" rowTo="20"/>
      <hiddenRange rowFrom="22" rowTo="28"/>
      <hiddenRange rowFrom="30" rowTo="70"/>
    </filterData>
    <filterData filterID="AKRFnkkUtoTSeyJs:025407">
      <hiddenRange rowFrom="2" rowTo="4"/>
      <hiddenRange rowFrom="8" rowTo="8"/>
      <hiddenRange rowFrom="10" rowTo="10"/>
      <hiddenRange rowFrom="14" rowTo="15"/>
      <hiddenRange rowFrom="18" rowTo="19"/>
      <hiddenRange rowFrom="21" rowTo="21"/>
      <hiddenRange rowFrom="23" rowTo="23"/>
      <hiddenRange rowFrom="26" rowTo="26"/>
      <hiddenRange rowFrom="30" rowTo="31"/>
      <hiddenRange rowFrom="33" rowTo="33"/>
      <hiddenRange rowFrom="35" rowTo="38"/>
      <hiddenRange rowFrom="40" rowTo="40"/>
      <hiddenRange rowFrom="42" rowTo="43"/>
      <hiddenRange rowFrom="45" rowTo="45"/>
      <hiddenRange rowFrom="47" rowTo="70"/>
    </filterData>
    <filterData filterID="AKRFnkkUtoTSeyJs:016853"/>
    <filterData filterID="AKRFnkkUtoTSeyJs:019712">
      <hiddenRange rowFrom="2" rowTo="4"/>
      <hiddenRange rowFrom="8" rowTo="8"/>
      <hiddenRange rowFrom="10" rowTo="10"/>
      <hiddenRange rowFrom="12" rowTo="12"/>
      <hiddenRange rowFrom="14" rowTo="15"/>
      <hiddenRange rowFrom="18" rowTo="19"/>
      <hiddenRange rowFrom="21" rowTo="23"/>
      <hiddenRange rowFrom="25" rowTo="31"/>
      <hiddenRange rowFrom="33" rowTo="33"/>
      <hiddenRange rowFrom="35" rowTo="38"/>
      <hiddenRange rowFrom="42" rowTo="43"/>
      <hiddenRange rowFrom="45" rowTo="45"/>
      <hiddenRange rowFrom="47" rowTo="54"/>
      <hiddenRange rowFrom="56" rowTo="57"/>
      <hiddenRange rowFrom="63" rowTo="65"/>
      <hiddenRange rowFrom="67" rowTo="70"/>
    </filterData>
    <filterData filterID="AKRFnkkUtoTSeyJs:K1101894">
      <hiddenRange rowFrom="4" rowTo="9"/>
      <hiddenRange rowFrom="12" rowTo="20"/>
      <hiddenRange rowFrom="22" rowTo="28"/>
      <hiddenRange rowFrom="30" rowTo="70"/>
    </filterData>
    <autofilterInfo filterID="AKRFnkkUtoTSeyJs:017573">
      <autoFilter xmlns="http://schemas.openxmlformats.org/spreadsheetml/2006/main" ref="A2:X73">
        <filterColumn colId="9">
          <customFilters>
            <customFilter operator="equal" val="估值及风险计量"/>
          </customFilters>
        </filterColumn>
      </autoFilter>
    </autofilterInfo>
    <autofilterInfo filterID="AKRFnkkUtoTSeyJs:020057">
      <autoFilter xmlns="http://schemas.openxmlformats.org/spreadsheetml/2006/main" ref="A2:X73">
        <filterColumn colId="10">
          <customFilters>
            <customFilter operator="equal" val="姜玉珠"/>
          </customFilters>
        </filterColumn>
      </autoFilter>
    </autofilterInfo>
    <autofilterInfo filterID="AKRFnkkUtoTSeyJs:024868">
      <autoFilter xmlns="http://schemas.openxmlformats.org/spreadsheetml/2006/main" ref="A2:X73">
        <filterColumn colId="10">
          <filters>
            <filter val="钱高翔"/>
            <filter val="朱泓飞"/>
            <filter val="钱高翔/朱泓飞"/>
          </filters>
        </filterColumn>
      </autoFilter>
    </autofilterInfo>
    <autofilterInfo filterID="AKRFnkkUtoTSeyJs:022651">
      <autoFilter xmlns="http://schemas.openxmlformats.org/spreadsheetml/2006/main" ref="A2:X73">
        <filterColumn colId="8">
          <customFilters>
            <customFilter operator="equal" val="张天翼"/>
          </customFilters>
        </filterColumn>
      </autoFilter>
    </autofilterInfo>
    <autofilterInfo filterID="AKRFnkkUtoTSeyJs:019089">
      <autoFilter xmlns="http://schemas.openxmlformats.org/spreadsheetml/2006/main" ref="A2:X73">
        <filterColumn colId="10">
          <customFilters>
            <customFilter operator="equal" val="胡于凡"/>
            <customFilter operator="equal" val="胡于凡/刘佩金"/>
          </customFilters>
        </filterColumn>
      </autoFilter>
    </autofilterInfo>
    <autofilterInfo filterID="AKRFnkkUtoTSeyJs:019747">
      <autoFilter xmlns="http://schemas.openxmlformats.org/spreadsheetml/2006/main" ref="A2:X73">
        <filterColumn colId="7">
          <customFilters>
            <customFilter operator="equal" val="胡于凡"/>
          </customFilters>
        </filterColumn>
      </autoFilter>
    </autofilterInfo>
    <autofilterInfo filterID="AKRFnkkUtoTSeyJs:K1102051">
      <autoFilter xmlns="http://schemas.openxmlformats.org/spreadsheetml/2006/main" ref="A2:X73">
        <filterColumn colId="10">
          <customFilters>
            <customFilter operator="equal" val="刘佩金"/>
          </customFilters>
        </filterColumn>
      </autoFilter>
    </autofilterInfo>
    <autofilterInfo filterID="AKRFnkkUtoTSeyJs:017436">
      <autoFilter xmlns="http://schemas.openxmlformats.org/spreadsheetml/2006/main" ref="A2:X73">
        <filterColumn colId="8">
          <customFilters>
            <customFilter operator="equal" val="戚挺"/>
            <customFilter operator="equal" val="王轮樟"/>
          </customFilters>
        </filterColumn>
      </autoFilter>
    </autofilterInfo>
    <autofilterInfo filterID="AKRFnkkUtoTSeyJs:016900">
      <autoFilter xmlns="http://schemas.openxmlformats.org/spreadsheetml/2006/main" ref="A2:X73">
        <filterColumn colId="9">
          <customFilters>
            <customFilter operator="equal" val="数据服务"/>
          </customFilters>
        </filterColumn>
      </autoFilter>
    </autofilterInfo>
    <autofilterInfo filterID="AKRFnkkUtoTSeyJs:012191">
      <autoFilter xmlns="http://schemas.openxmlformats.org/spreadsheetml/2006/main" ref="A2:X73">
        <filterColumn colId="8">
          <customFilters>
            <customFilter operator="equal" val="张弦"/>
          </customFilters>
        </filterColumn>
      </autoFilter>
    </autofilterInfo>
    <autofilterInfo filterID="AKRFnkkUtoTSeyJs:017098">
      <autoFilter xmlns="http://schemas.openxmlformats.org/spreadsheetml/2006/main" ref="A2:X73">
        <filterColumn colId="9">
          <customFilters>
            <customFilter operator="equal" val="交易"/>
          </customFilters>
        </filterColumn>
      </autoFilter>
    </autofilterInfo>
    <autofilterInfo filterID="AKRFnkkUtoTSeyJs:016882">
      <autoFilter xmlns="http://schemas.openxmlformats.org/spreadsheetml/2006/main" ref="A2:X73">
        <filterColumn colId="9">
          <customFilters>
            <customFilter operator="equal" val="估值及风险计量"/>
          </customFilters>
        </filterColumn>
      </autoFilter>
    </autofilterInfo>
    <autofilterInfo filterID="AKRFnkkUtoTSeyJs:020013">
      <autoFilter xmlns="http://schemas.openxmlformats.org/spreadsheetml/2006/main" ref="A2:X73">
        <filterColumn colId="9">
          <customFilters>
            <customFilter operator="equal" val="客需/交易后"/>
          </customFilters>
        </filterColumn>
      </autoFilter>
    </autofilterInfo>
    <autofilterInfo filterID="AKRFnkkUtoTSeyJs:018386">
      <autoFilter xmlns="http://schemas.openxmlformats.org/spreadsheetml/2006/main" ref="A2:X73">
        <filterColumn colId="8">
          <customFilters>
            <customFilter operator="equal" val="王轮樟"/>
          </customFilters>
        </filterColumn>
      </autoFilter>
    </autofilterInfo>
    <autofilterInfo filterID="AKRFnkkUtoTSeyJs:019782">
      <autoFilter xmlns="http://schemas.openxmlformats.org/spreadsheetml/2006/main" ref="A2:X73">
        <filterColumn colId="10">
          <filters>
            <filter val="钱高翔"/>
            <filter val="朱泓飞"/>
            <filter val="钱高翔/朱泓飞"/>
          </filters>
        </filterColumn>
      </autoFilter>
    </autofilterInfo>
    <autofilterInfo filterID="AKRFnkkUtoTSeyJs:019769">
      <autoFilter xmlns="http://schemas.openxmlformats.org/spreadsheetml/2006/main" ref="A2:X73">
        <filterColumn colId="11">
          <customFilters>
            <customFilter operator="equal" val="场外对客Web端"/>
            <customFilter operator="equal" val="场外运营端（web）"/>
          </customFilters>
        </filterColumn>
      </autoFilter>
    </autofilterInfo>
    <autofilterInfo filterID="AKRFnkkUtoTSeyJs:017833">
      <autoFilter xmlns="http://schemas.openxmlformats.org/spreadsheetml/2006/main" ref="A2:X73">
        <filterColumn colId="19">
          <customFilters>
            <customFilter operator="equal" val=""/>
            <customFilter operator="equal" val="是"/>
          </customFilters>
        </filterColumn>
      </autoFilter>
    </autofilterInfo>
    <autofilterInfo filterID="AKRFnkkUtoTSeyJs:019040">
      <autoFilter xmlns="http://schemas.openxmlformats.org/spreadsheetml/2006/main" ref="A2:X73">
        <filterColumn colId="7">
          <customFilters>
            <customFilter operator="equal" val="夏清"/>
          </customFilters>
        </filterColumn>
      </autoFilter>
    </autofilterInfo>
    <autofilterInfo filterID="AKRFnkkUtoTSeyJs:018896">
      <autoFilter xmlns="http://schemas.openxmlformats.org/spreadsheetml/2006/main" ref="A2:X73">
        <filterColumn colId="10">
          <customFilters>
            <customFilter operator="equal" val="姜玉珠"/>
          </customFilters>
        </filterColumn>
      </autoFilter>
    </autofilterInfo>
    <autofilterInfo filterID="AKRFnkkUtoTSeyJs:019227">
      <autoFilter xmlns="http://schemas.openxmlformats.org/spreadsheetml/2006/main" ref="A2:X73">
        <filterColumn colId="8">
          <customFilters>
            <customFilter operator="equal" val="毕成功"/>
          </customFilters>
        </filterColumn>
      </autoFilter>
    </autofilterInfo>
    <autofilterInfo filterID="AKRFnkkUtoTSeyJs:010713">
      <autoFilter xmlns="http://schemas.openxmlformats.org/spreadsheetml/2006/main" ref="A2:X73">
        <filterColumn colId="8">
          <customFilters>
            <customFilter operator="equal" val="张俊"/>
          </customFilters>
        </filterColumn>
        <filterColumn colId="21">
          <filters blank="1"/>
        </filterColumn>
      </autoFilter>
    </autofilterInfo>
    <autofilterInfo filterID="AKRFnkkUtoTSeyJs:017444">
      <autoFilter xmlns="http://schemas.openxmlformats.org/spreadsheetml/2006/main" ref="A2:X73">
        <filterColumn colId="10">
          <filters>
            <filter val="钱高翔"/>
            <filter val="吴克易琼/钱高翔"/>
            <filter val="吴克易琼/孙玉涵/刘佩金/钱高翔"/>
            <filter val="钱高翔/朱泓飞"/>
          </filters>
        </filterColumn>
      </autoFilter>
    </autofilterInfo>
    <autofilterInfo filterID="AKRFnkkUtoTSeyJs:018110">
      <autoFilter xmlns="http://schemas.openxmlformats.org/spreadsheetml/2006/main" ref="A2:X73">
        <filterColumn colId="7">
          <customFilters>
            <customFilter operator="equal" val="刘佩金"/>
          </customFilters>
        </filterColumn>
      </autoFilter>
    </autofilterInfo>
    <autofilterInfo filterID="AKRFnkkUtoTSeyJs:025407">
      <autoFilter xmlns="http://schemas.openxmlformats.org/spreadsheetml/2006/main" ref="A2:X73">
        <filterColumn colId="10">
          <customFilters>
            <customFilter operator="equal" val="刘佩金"/>
            <customFilter operator="equal" val="刘佩金/姜玉珠"/>
          </customFilters>
        </filterColumn>
      </autoFilter>
    </autofilterInfo>
    <autofilterInfo filterID="AKRFnkkUtoTSeyJs:018458">
      <autoFilter xmlns="http://schemas.openxmlformats.org/spreadsheetml/2006/main" ref="A2:X73">
        <filterColumn colId="9">
          <customFilters>
            <customFilter operator="equal" val="估值及风险计量"/>
          </customFilters>
        </filterColumn>
      </autoFilter>
    </autofilterInfo>
    <autofilterInfo filterID="AKRFnkkUtoTSeyJs:025172">
      <autoFilter xmlns="http://schemas.openxmlformats.org/spreadsheetml/2006/main" ref="A2:X73">
        <filterColumn colId="9">
          <customFilters>
            <customFilter operator="equal" val="估值及风险计量"/>
          </customFilters>
        </filterColumn>
      </autoFilter>
    </autofilterInfo>
    <autofilterInfo filterID="AKRFnkkUtoTSeyJs:019712">
      <autoFilter xmlns="http://schemas.openxmlformats.org/spreadsheetml/2006/main" ref="A2:X73">
        <filterColumn colId="10">
          <customFilters>
            <customFilter operator="equal" val="姜玉珠"/>
          </customFilters>
        </filterColumn>
      </autoFilter>
    </autofilterInfo>
    <autofilterInfo filterID="AKRFnkkUtoTSeyJs:018303">
      <autoFilter xmlns="http://schemas.openxmlformats.org/spreadsheetml/2006/main" ref="A2:X73">
        <filterColumn colId="9">
          <customFilters>
            <customFilter operator="equal" val="平台"/>
          </customFilters>
        </filterColumn>
      </autoFilter>
    </autofilterInfo>
    <autofilterInfo filterID="AKRFnkkUtoTSeyJs:K1101894">
      <autoFilter xmlns="http://schemas.openxmlformats.org/spreadsheetml/2006/main" ref="A2:X73">
        <filterColumn colId="10">
          <customFilters>
            <customFilter operator="equal" val="夏清"/>
          </customFilters>
        </filterColumn>
      </autoFilter>
    </autofilterInfo>
  </sheetItem>
</autofilters>
</file>

<file path=customXml/item4.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4" interlineOnOff="0" interlineColor="0" isDbSheet="0" isDashBoardSheet="0" isDbDashBoardSheet="0" isFlexPaperSheet="0">
      <cellprotection/>
      <appEtDbRelations/>
    </woSheetProps>
    <woSheetProps sheetStid="6" interlineOnOff="0" interlineColor="0" isDbSheet="0" isDashBoardSheet="0" isDbDashBoardSheet="0" isFlexPaperSheet="0">
      <cellprotection/>
      <appEtDbRelations/>
    </woSheetProps>
  </woSheetsProps>
  <woBookProps>
    <bookSettings fileId="" isFilterShared="0" coreConquerUserId="" isAutoUpdatePaused="0" filterType="user" isMergeTasksAutoUpdate="0" isInserPicAsAttachment="0"/>
  </woBookProps>
</woProps>
</file>

<file path=customXml/item5.xml><?xml version="1.0" encoding="utf-8"?>
<pixelators xmlns="https://web.wps.cn/et/2018/main" xmlns:s="http://schemas.openxmlformats.org/spreadsheetml/2006/main">
  <pixelatorList sheetStid="1"/>
  <pixelatorList sheetStid="3"/>
  <pixelatorList sheetStid="4"/>
  <pixelatorList sheetStid="6"/>
  <pixelatorList sheetStid="7"/>
</pixelators>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576a6740-a502-43ae-9f28-c9e454320052}">
  <ds:schemaRefs>
    <ds:schemaRef ds:uri="http://www.wps.cn/et/2023/dataValidationExt"/>
  </ds:schemaRefs>
</ds:datastoreItem>
</file>

<file path=customXml/itemProps3.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WPS Office WWO_wpscloud_20240821181913-a0e91bd6bf</Application>
  <HeadingPairs>
    <vt:vector size="2" baseType="variant">
      <vt:variant>
        <vt:lpstr>工作表</vt:lpstr>
      </vt:variant>
      <vt:variant>
        <vt:i4>4</vt:i4>
      </vt:variant>
    </vt:vector>
  </HeadingPairs>
  <TitlesOfParts>
    <vt:vector size="4" baseType="lpstr">
      <vt:lpstr>0425-需求列表</vt:lpstr>
      <vt:lpstr>需求澄清列表</vt:lpstr>
      <vt:lpstr>验收列表</vt:lpstr>
      <vt:lpstr>排期晾晒</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021227</dc:creator>
  <cp:lastModifiedBy>021227</cp:lastModifiedBy>
  <dcterms:created xsi:type="dcterms:W3CDTF">2022-10-15T21:43:00Z</dcterms:created>
  <dcterms:modified xsi:type="dcterms:W3CDTF">2022-10-15T21:43:00Z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y fmtid="{D5CDD505-2E9C-101B-9397-08002B2CF9AE}" pid="3" name="fileWhereFroms">
    <vt:lpwstr>PpjeLB1gRN0lwrPqMaCTkrECnFzIz52FCV5Hy4vuQBleoNF4Cn0bnoIj/l4R1lk3x60yLW3bonMIZXhW9eOuQSKwwMXkSqioR7IohD7JHiKL1Kex5PfDuKQOg5o6epURpTfP/dk98wL0gSLKiNPuw2I1d5mqizvK0etAnhWygh7/L/uczoU8dnKqZ2n9hMl/08TlSTgT4gsLfsj4N5qnfHg08FCEbzCvQxRYqKX+Awm0DOVKljCr1xao09tqGZGmT5rFzPJrN1kE/CDZwRQopBlrI75K6P4/hk1BmvwrAFjkCdAiBlw9qxyIDC3oYua2ClQFVlT17Pc8MOSsEyFLKt4iCeanYFEpfd1EtQ6LaMpz0rXBZklihJ2J8zC+lcBrF9f5EcW58t7Xkx4KXK9I1v9/uRCiwO5/P/JQLPgIZSBx1z3GgwYeretRiuxFZP2IZHkssTmcOgAlQS0yImksZg==</vt:lpwstr>
  </property>
</Properties>
</file>