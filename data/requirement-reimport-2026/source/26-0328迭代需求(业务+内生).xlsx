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65" activeTab="2"/>
  </bookViews>
  <sheets>
    <sheet name="0328-需求列表" sheetId="1" r:id="rId1"/>
    <sheet name="需求澄清列表" sheetId="3" r:id="rId2"/>
    <sheet name="验收列表" sheetId="4" r:id="rId3"/>
    <sheet name="排期晾晒" sheetId="6" r:id="rId4"/>
  </sheets>
  <definedNames>
    <definedName name="_xlnm._FilterDatabase" localSheetId="0" hidden="1">'0328-需求列表'!$A$1:$V$74</definedName>
    <definedName name="_xlnm._FilterDatabase" localSheetId="1" hidden="1">需求澄清列表!$A$2:$X$67</definedName>
    <definedName name="_xlnm._FilterDatabase" localSheetId="2" hidden="1">验收列表!$A$3:$I$23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<sst xmlns="http://schemas.openxmlformats.org/spreadsheetml/2006/main" count="2115" uniqueCount="738">
  <si>
    <t>所属部门</t>
  </si>
  <si>
    <t>需求编号</t>
  </si>
  <si>
    <t>需求名</t>
  </si>
  <si>
    <t>需求描述</t>
  </si>
  <si>
    <t>境内/外类别</t>
  </si>
  <si>
    <t>一级分类
(品种分类)</t>
  </si>
  <si>
    <t>二级分类
（品种子类型）</t>
  </si>
  <si>
    <t>三级分类(模块)</t>
  </si>
  <si>
    <t>所属中心</t>
  </si>
  <si>
    <t>所属团队</t>
  </si>
  <si>
    <t>需求提出人</t>
  </si>
  <si>
    <t>固收产品经理</t>
  </si>
  <si>
    <t>优先级</t>
  </si>
  <si>
    <t>IT产品经理
（牵头）</t>
  </si>
  <si>
    <t>IT技术负责人
（牵头）</t>
  </si>
  <si>
    <t>重点项目标签</t>
  </si>
  <si>
    <t>需求是否准入</t>
  </si>
  <si>
    <t>是否纳入交付</t>
  </si>
  <si>
    <t>预估迭代</t>
  </si>
  <si>
    <t>当前迭代交付内容</t>
  </si>
  <si>
    <t>备注</t>
  </si>
  <si>
    <t>固定收益部</t>
  </si>
  <si>
    <t>FICCHEADS-1127</t>
  </si>
  <si>
    <t>境外债券支持配置汇率敞口算法</t>
  </si>
  <si>
    <t>支持境外债券合约的汇率敞口的灵活配置和计算，满足客户对于汇率浮动所导致的本金损益精细化管理的诉求</t>
  </si>
  <si>
    <t>境内</t>
  </si>
  <si>
    <t>场外衍生品</t>
  </si>
  <si>
    <t>场外收益互换</t>
  </si>
  <si>
    <t>场外</t>
  </si>
  <si>
    <t>代客业务中心</t>
  </si>
  <si>
    <t>褚悦珊</t>
  </si>
  <si>
    <t>在研-优先级0</t>
  </si>
  <si>
    <t>夏清</t>
  </si>
  <si>
    <t>张弦</t>
  </si>
  <si>
    <t>无</t>
  </si>
  <si>
    <t>是</t>
  </si>
  <si>
    <t>预计0425迭代完成交付</t>
  </si>
  <si>
    <t>启动累计结转模式汇率敞口计算开发</t>
  </si>
  <si>
    <t>技术负责人在【1-28日】已确认</t>
  </si>
  <si>
    <t>FICCHEADS-1124</t>
  </si>
  <si>
    <t>境外债TRS付息/资金流水自动生成</t>
  </si>
  <si>
    <t>支持境外债TRS（包括中资美元债、点心债等）自动生成债券付息资金流水与交易流水，具体包括：
1）合约簿记增加派息规则等字段
2）自动生成付息要素
3）生成付息交易流水
4）生成资金流水</t>
  </si>
  <si>
    <t>互换</t>
  </si>
  <si>
    <t>启动场外侧债券付息资金流水和交易流水开发</t>
  </si>
  <si>
    <t>香港金控FICC</t>
  </si>
  <si>
    <t>FICCHEADS-1167</t>
  </si>
  <si>
    <t>TARF平台建设</t>
  </si>
  <si>
    <t>境外</t>
  </si>
  <si>
    <t>TARF</t>
  </si>
  <si>
    <t>交易簿记</t>
  </si>
  <si>
    <t>外汇产品团队</t>
  </si>
  <si>
    <t>陈思宇</t>
  </si>
  <si>
    <t>刘佩金</t>
  </si>
  <si>
    <t>张天翼</t>
  </si>
  <si>
    <t>【Calypso下线项目】Tarf簿记</t>
  </si>
  <si>
    <t>预计0328迭代完成交付</t>
  </si>
  <si>
    <t>预计2个迭代完成交付</t>
  </si>
  <si>
    <t>完成TARF中后台对接和存续期监控部分功能</t>
  </si>
  <si>
    <t>FICCHEADS-1180</t>
  </si>
  <si>
    <t>港交所外汇期货做市交易系统建设需求说明书</t>
  </si>
  <si>
    <t>外汇</t>
  </si>
  <si>
    <t>外汇期货</t>
  </si>
  <si>
    <t>交易链路</t>
  </si>
  <si>
    <t>做市业务中心</t>
  </si>
  <si>
    <t>外汇做市台</t>
  </si>
  <si>
    <t>赵鸿达</t>
  </si>
  <si>
    <t>吴克易琼</t>
  </si>
  <si>
    <t>王轮樟</t>
  </si>
  <si>
    <t>【海外交易能力建设】香港外汇期货做市项目</t>
  </si>
  <si>
    <t>预计0523迭代之后完成交付</t>
  </si>
  <si>
    <t>完成易盛柜台外汇期货行情对接和做市交易链路基础组件境外部署。</t>
  </si>
  <si>
    <t>技术负责人在【1-29日】已确认</t>
  </si>
  <si>
    <t>FICCHEADS-873</t>
  </si>
  <si>
    <t>IRS交易支持对接xswap实现线上对冲</t>
  </si>
  <si>
    <t>目前场外衍生品平台TRS的IRS品种对客交易，客户主要是通过线下与我们达成交易，交易效率低，后续通过大象平台TRS对冲端直连X-Swap平台，客户可以直接线上看到X-Swap价格（加点）进行成交，能大幅提升交易量。目前TRS支持债券通过X-Bond的成交模式。</t>
  </si>
  <si>
    <t>启动线上对冲交易链路开发</t>
  </si>
  <si>
    <t>FICCHEADS-1097</t>
  </si>
  <si>
    <t>境外债自营风控优化需求</t>
  </si>
  <si>
    <t>债券</t>
  </si>
  <si>
    <t>南向通债券</t>
  </si>
  <si>
    <t>交易风控</t>
  </si>
  <si>
    <t>风险合规中心</t>
  </si>
  <si>
    <t>风险管理团队</t>
  </si>
  <si>
    <t>曾慧聪</t>
  </si>
  <si>
    <t>戚挺</t>
  </si>
  <si>
    <t>启动授权额度监控研发；</t>
  </si>
  <si>
    <t>技术负责人在【1-28日】已确认
本需求遗留功能点与后续新需求（FICCHEAS-1130）耦合紧密，经沟通本功能点合并到后续需求整体开发。</t>
  </si>
  <si>
    <t>FICCHEADS-1099</t>
  </si>
  <si>
    <t>iDeal机器人自动下单功能(新增支持平安利顺）</t>
  </si>
  <si>
    <t>实现直连货币中介iDeal机器人的债券自动下单成交。
此需求为新增对接直连货币中介平安理顺的机器人。</t>
  </si>
  <si>
    <t>银行间债券</t>
  </si>
  <si>
    <t>直连经纪商债券交易</t>
  </si>
  <si>
    <t>本币做市台</t>
  </si>
  <si>
    <t>韩玲</t>
  </si>
  <si>
    <t>胡于凡</t>
  </si>
  <si>
    <t>预计当前迭代完成交付</t>
  </si>
  <si>
    <t>完成平安利顺的接口对接</t>
  </si>
  <si>
    <t>FICCHEADS-1136</t>
  </si>
  <si>
    <t>其他债权投资和持有至到期损益计算逻辑优化</t>
  </si>
  <si>
    <t>综合</t>
  </si>
  <si>
    <t>风险管理</t>
  </si>
  <si>
    <t>业务报表</t>
  </si>
  <si>
    <t>姚忠兵</t>
  </si>
  <si>
    <t>完成自营日报部分对OCI/AC账户相关的适配</t>
  </si>
  <si>
    <t>技术负责人在【1-23日】已确认</t>
  </si>
  <si>
    <t>FICCHEADS-1082</t>
  </si>
  <si>
    <t>增加财富管理部私行中心客户准入流程</t>
  </si>
  <si>
    <t>销售业务</t>
  </si>
  <si>
    <t>数据报送</t>
  </si>
  <si>
    <t>销售业务中心</t>
  </si>
  <si>
    <t>代客销售团队</t>
  </si>
  <si>
    <t>吴凡</t>
  </si>
  <si>
    <t>支持私行客户的准入流程</t>
  </si>
  <si>
    <t>FICCHEADS-812</t>
  </si>
  <si>
    <t>监管报表-现券和回购偏离度报表完善需求V2</t>
  </si>
  <si>
    <t>对监管报表中，细分的“现券和回购偏离度报表”进行有关完善。</t>
  </si>
  <si>
    <t>陈治平</t>
  </si>
  <si>
    <t>完成技术方案的调研和设计</t>
  </si>
  <si>
    <t>FICCHEADS-1110</t>
  </si>
  <si>
    <t>OCI账户持仓减值计算方案调整需求说明书</t>
  </si>
  <si>
    <t>对以摊余成本计量的债券、以公允价值计量且其变动计入其他综合收益的债券的减值计算方法进行调整。</t>
  </si>
  <si>
    <t>账户管理</t>
  </si>
  <si>
    <t>自营业务中心</t>
  </si>
  <si>
    <t>自营交易五台</t>
  </si>
  <si>
    <t>自营业务中心优先级1</t>
  </si>
  <si>
    <t>否</t>
  </si>
  <si>
    <t>本迭代无法启动后续重新排期</t>
  </si>
  <si>
    <t>【不纳入说明】：本迭代工作量饱和，无法纳入更多需求</t>
  </si>
  <si>
    <t>FICCHEADS-1140</t>
  </si>
  <si>
    <t>债券ETF业务系统需求说明书（二期）：二级交易</t>
  </si>
  <si>
    <t>实现债券ETF交易链路建设中二级交易功能。</t>
  </si>
  <si>
    <t>基金</t>
  </si>
  <si>
    <t>债券ETF</t>
  </si>
  <si>
    <t>信用交易台</t>
  </si>
  <si>
    <t>自营业务中心优先级2</t>
  </si>
  <si>
    <t>完成价格偏离度，单债券ETF持仓限额，债券ETF总体持仓限额，持仓集中度4个风控功能</t>
  </si>
  <si>
    <t>技术负责人在【1-30日】已确认</t>
  </si>
  <si>
    <t>FICCHEADS-1189</t>
  </si>
  <si>
    <t>美国国债做市系统需求</t>
  </si>
  <si>
    <t>1. 对冲端连接城堡基金接口， 接入对冲端渠道的行情信息
2. 报价端连接彭博等渠道，策略报价能够报至ALLQ等渠道
3. 大象报价面板支持进行对美国国债的策略报价和策略对冲平盘
4. 大象询价回复面板和类似功能支持进行客户询价的策略/人工询价回复
5. 支持查询订单、成交、持仓、PnL、风险等相关报表信息</t>
  </si>
  <si>
    <t>美国国债</t>
  </si>
  <si>
    <t>外币债券做市台</t>
  </si>
  <si>
    <t>做市业务中心优先级1</t>
  </si>
  <si>
    <t>预计3个以上迭代完成交付</t>
  </si>
  <si>
    <t>完成需求内容沟通与分析，制定阶段性交付目标。</t>
  </si>
  <si>
    <t>FICCHEADS-1194</t>
  </si>
  <si>
    <t>金控FICC期货（港交所外汇期货）前台交易簿记需求</t>
  </si>
  <si>
    <t>本需求为前台交易簿记需求，针对港交所外汇期货所涉及的前台交易簿记，拟进行整体建设，包括交易簿记、持仓管理、风险管理、估值模型及现金流计算、账户管理等。</t>
  </si>
  <si>
    <t>期货</t>
  </si>
  <si>
    <t>大象平台产品团队</t>
  </si>
  <si>
    <t>做市业务中心优先级2</t>
  </si>
  <si>
    <t>FICCHEADS-1184</t>
  </si>
  <si>
    <t>收益互换支持挂钩加拿大多伦多交易所和美国BATS交易所权益品种</t>
  </si>
  <si>
    <t>为满足客户交易需求，场外衍生品平台收益互换新增支持美国BATS证券交易所、加拿大多伦多证券交易所的权益品种，以上交易适用目前场外衍生品平台的风控规则（包括实时和日终风控），并支持合约自动生成、估值、实时/日终盯市等合约全生命周期管理</t>
  </si>
  <si>
    <t>多资产创新产品团队</t>
  </si>
  <si>
    <t>代客业务中心优先级1</t>
  </si>
  <si>
    <t>【不纳入说明】：上游行情中心数据需要改造，本迭代无法启动</t>
  </si>
  <si>
    <t>FICCHEADS-1149</t>
  </si>
  <si>
    <t>债券增值税现金流自动生成</t>
  </si>
  <si>
    <t>自2025年8月8日起，财政部、税务总局将对在该日期之后（含当日）新发行的国债、地方政府债券、金融债券的利息收入，恢复征收增值税。需要对系统功能进行改造，以生成增值税费用现金流需支持推送运营中心复核</t>
  </si>
  <si>
    <t>交易管理</t>
  </si>
  <si>
    <t>宏观产品团队</t>
  </si>
  <si>
    <t>代客业务中心优先级2</t>
  </si>
  <si>
    <t>完成技术方案设计，交付税收基础信息配置功能</t>
  </si>
  <si>
    <t>FICCHEADS-1096</t>
  </si>
  <si>
    <t>部分白名单资质更新提醒提前</t>
  </si>
  <si>
    <t>对于衍生品客户下“专业投资者类型”为“专业一类”且“机构大类”为“私募”以外其他类型时，将客户下次年度资质更新首次提醒时间设置为到期前2个月。</t>
  </si>
  <si>
    <t>销售管理</t>
  </si>
  <si>
    <t>销售业务中心优先级1</t>
  </si>
  <si>
    <t>基于OB触发结果完成提醒触达展示，优化提醒到期日展示功能</t>
  </si>
  <si>
    <t>FICCHEADS-983</t>
  </si>
  <si>
    <t>支持产品更换管理人功能</t>
  </si>
  <si>
    <t>在年度资质更新场景支持前端增加产品切换管理人/管理人平移的选项，系统不固定管理人ECIFID，根据流程中填写的管理人重新派发ID。办结后系统更新产品所属管理人的关系。</t>
  </si>
  <si>
    <t>销售业务中心优先级2</t>
  </si>
  <si>
    <t>【不纳入说明】：上游系统OB无法启动，需要上游完成之后再启动</t>
  </si>
  <si>
    <t>FICCHEADS-1197</t>
  </si>
  <si>
    <t>外币回购大象开发需求</t>
  </si>
  <si>
    <t>新开发外币回购业务模块，但需求目前还在审核，尚未提交</t>
  </si>
  <si>
    <t>回购</t>
  </si>
  <si>
    <t>外币回购</t>
  </si>
  <si>
    <t>流动性管理中心</t>
  </si>
  <si>
    <t>—</t>
  </si>
  <si>
    <t>流动性管理中心优先级1</t>
  </si>
  <si>
    <t>成楠</t>
  </si>
  <si>
    <t>上线批量下单，内部执行，可用校验及查询，成交监控，清算导出等功能</t>
  </si>
  <si>
    <t>在排期反馈后，经固收高总及相关同事与IT重新沟通，外币回购作为作为重点需求纳入迭代</t>
  </si>
  <si>
    <t>FICCHEADS-955</t>
  </si>
  <si>
    <t>票据业务持仓占用规则调整</t>
  </si>
  <si>
    <t>将票据业务持仓额度占用纳入固收常规限额体系内。</t>
  </si>
  <si>
    <t>票据</t>
  </si>
  <si>
    <t>转贴现和正回购</t>
  </si>
  <si>
    <t>流动性管理中心优先级2</t>
  </si>
  <si>
    <t>FICCHEADS-931</t>
  </si>
  <si>
    <t>金交所/银行间 即远掉询价交易风控相关需求</t>
  </si>
  <si>
    <t>为丰富客需衍生品业务对冲渠道的多样性，交易台提出支持黄金即远掉交易需求。相应地，风险管理方面提出配套风险管理以及风险分析需求以支持该业务开展，包括：                     
1）相关授权与权限功能；           
2）场外衍生品估值敞口监控界面以及损益监控有关功能开发及改造。</t>
  </si>
  <si>
    <t>贵金属</t>
  </si>
  <si>
    <t>黄金</t>
  </si>
  <si>
    <t>风险合规中心优先级1</t>
  </si>
  <si>
    <t>FICCHEADS-147</t>
  </si>
  <si>
    <t>大象信用债持仓功能模块的开发需求</t>
  </si>
  <si>
    <t>大象信用债持仓监控功能构建</t>
  </si>
  <si>
    <t>信用风险</t>
  </si>
  <si>
    <t>风险合规中心优先级2</t>
  </si>
  <si>
    <t>中央交易室</t>
  </si>
  <si>
    <t>IT需求申请央20251028572539</t>
  </si>
  <si>
    <t>中央交易室固定收益类交易执行自动化需求</t>
  </si>
  <si>
    <t>随着交易中心、沪深交易所不断推出和完善各类型FICC类交易的接口，部分由中央交易室执行交易员手工下单的交易可接入自动化接口，减少大象系统和交易系统间的断点，降低相关操作风险，提升交易效率。</t>
  </si>
  <si>
    <t>张语蕙</t>
  </si>
  <si>
    <t>中央交易室优先级1</t>
  </si>
  <si>
    <t>技术负责人在【1-28日】已确认
让位于外币回购和外币拆借的需求</t>
  </si>
  <si>
    <t>资金运营部</t>
  </si>
  <si>
    <t>IT需求申请资运20251224590060</t>
  </si>
  <si>
    <t>资金部2026年度IT需求申请（信用拆借审批链路迁移BPM）</t>
  </si>
  <si>
    <t>根据部门业务发展及数字化转型规划，拟定2025年系统建设框架性需求，如附件。相关需求前期已线下沟通确认过。</t>
  </si>
  <si>
    <t>杨畅</t>
  </si>
  <si>
    <t>资运部优先级2</t>
  </si>
  <si>
    <t>资金部2026年度IT需求申请（交易所回购策略信号发掘第一阶段）</t>
  </si>
  <si>
    <t>资运部优先级1</t>
  </si>
  <si>
    <t>风险管理部</t>
  </si>
  <si>
    <t>IT需求申请风20250905559247</t>
  </si>
  <si>
    <t>关于风险数据集市采集固收Cube和大象系统场外业务数据的需求</t>
  </si>
  <si>
    <t>提供大象系统手工簿记行情、收益互换定义文件、预付金账户配置、保证金参数、盯市配置、交易簿参数、簿记复核状态变更等数据以及Cube系统簿记复核状态变更数据，数据具体需求详情见附件</t>
  </si>
  <si>
    <t>汪倪佳</t>
  </si>
  <si>
    <t>风控部优先级1</t>
  </si>
  <si>
    <t>毕成功</t>
  </si>
  <si>
    <t>完成风险管理部需要的数据加工处理</t>
  </si>
  <si>
    <t>FICCHEADS-1168</t>
  </si>
  <si>
    <t>金控FICC美国国债自动化交易链路业务需求二期（XOR：大象报到彭博后无需交易员确认直接对外报单）</t>
  </si>
  <si>
    <t>实现自营中心美国国债交易链路建设，通过彭博XOR模块，实现大象报到彭博后无需交易员确认直接对外报单。</t>
  </si>
  <si>
    <t>中央交易台/香港交易一台</t>
  </si>
  <si>
    <t>沙学府</t>
  </si>
  <si>
    <t>孙玉涵</t>
  </si>
  <si>
    <t>【海外交易能力建设】美国国债自营交易链路</t>
  </si>
  <si>
    <t>对接彭博 XOR模块，实现订单自动流转。</t>
  </si>
  <si>
    <t>分割行，此行下方为内生性需求（含产品优化和技术内生）</t>
  </si>
  <si>
    <t>信息技术部</t>
  </si>
  <si>
    <t>LAMP持续优化</t>
  </si>
  <si>
    <t>FICC人工智能专项项目</t>
  </si>
  <si>
    <t>完成LAMP功能优化</t>
  </si>
  <si>
    <t>iDeal客户画像持续迭代</t>
  </si>
  <si>
    <t>陈志宝</t>
  </si>
  <si>
    <t>完成成交后收益率和胜率的标签计算</t>
  </si>
  <si>
    <t>场外港股支持打新阶段定义和维护</t>
  </si>
  <si>
    <t>钱高翔</t>
  </si>
  <si>
    <t>对接资讯中心获取港股上市前的静态信息，支持用户在上市前对暗盘交易进行维护</t>
  </si>
  <si>
    <t>已和张弦和何鑫沟通</t>
  </si>
  <si>
    <t>对接彭博交易日历和结算日历</t>
  </si>
  <si>
    <t>对接资讯平台，接入彭博全量的交易日历和结算日历</t>
  </si>
  <si>
    <t>已和何鑫和周硕飙沟通</t>
  </si>
  <si>
    <t>O45迁移+交易所固收平台切换至互联网平台</t>
  </si>
  <si>
    <t>O45迁移项目</t>
  </si>
  <si>
    <t>配合业务进行固收O45迁移
交易所固收平台迁移至互联网平台，涉及到交易链路、行情、RDS等变更</t>
  </si>
  <si>
    <t>美债calypso替代项目-内部服务优化</t>
  </si>
  <si>
    <t>基于trade服务和position服务承接和Galaxy、Abacus对接成交流水和期初持仓功能；</t>
  </si>
  <si>
    <t>智能BI项目POC</t>
  </si>
  <si>
    <t>FICC交易平台中心</t>
  </si>
  <si>
    <t>平台架构</t>
  </si>
  <si>
    <t>香港金工资讯本地化部署需求</t>
  </si>
  <si>
    <t>待定</t>
  </si>
  <si>
    <t>【问题修复】南向通债券风控应急白名单支持</t>
  </si>
  <si>
    <t>张俊</t>
  </si>
  <si>
    <t>完成问题修复</t>
  </si>
  <si>
    <t>已和刘涛、陆中骞沟通</t>
  </si>
  <si>
    <t>【问题修复】金交所现货标的日间持仓计算</t>
  </si>
  <si>
    <t>已和习云飞、李致远沟通</t>
  </si>
  <si>
    <t>月度授权流程启动迁移</t>
  </si>
  <si>
    <t>姜玉珠</t>
  </si>
  <si>
    <t>完成方案设计</t>
  </si>
  <si>
    <t>审批流程支持上传附件</t>
  </si>
  <si>
    <t>完成功能上线：支持审批内容通过附件形式展示，支持审批人审批过程上传附件</t>
  </si>
  <si>
    <t>已和高宇航、夏庆飞沟通</t>
  </si>
  <si>
    <t>notify取消给离职用户发送报表</t>
  </si>
  <si>
    <t>完成功能上线，去掉大象权限报表中的离职用户和转岗用户</t>
  </si>
  <si>
    <t>已和朱洲沟通</t>
  </si>
  <si>
    <t>审批监控（新）界面优化</t>
  </si>
  <si>
    <t>对应前端研发为姚团结</t>
  </si>
  <si>
    <t>FICC-91583</t>
  </si>
  <si>
    <t xml:space="preserve"> AURORA平台优化及HAB整合</t>
  </si>
  <si>
    <t>策略管理</t>
  </si>
  <si>
    <t>FICC策略平台整合项目</t>
  </si>
  <si>
    <t>完成产品方案的确认</t>
  </si>
  <si>
    <t>等待方案汇报评审</t>
  </si>
  <si>
    <t>配合OB字段枚举值调整</t>
  </si>
  <si>
    <t>完成产品类型、受益人一级、二级类型的枚举值调整</t>
  </si>
  <si>
    <t>迭代规划</t>
  </si>
  <si>
    <t>需求描述（0328迭代）</t>
  </si>
  <si>
    <t>研发反馈（截止日：澄清日+2个工作日）</t>
  </si>
  <si>
    <t>境内/境外</t>
  </si>
  <si>
    <t>概要（*）</t>
  </si>
  <si>
    <t>所属业务台</t>
  </si>
  <si>
    <t>IT产品经理（牵头）</t>
  </si>
  <si>
    <t>IT技术负责人（牵头）</t>
  </si>
  <si>
    <t>产品模块</t>
  </si>
  <si>
    <t>承接产品经理</t>
  </si>
  <si>
    <t>前端应用</t>
  </si>
  <si>
    <t>需求内容</t>
  </si>
  <si>
    <t>IT jira编号</t>
  </si>
  <si>
    <t>IT Jira名称</t>
  </si>
  <si>
    <t>需求文档</t>
  </si>
  <si>
    <t>需求评审</t>
  </si>
  <si>
    <t>测试要求</t>
  </si>
  <si>
    <t>交付要求</t>
  </si>
  <si>
    <t>迭代周期</t>
  </si>
  <si>
    <t>后端研发承接人</t>
  </si>
  <si>
    <t>前端研发承接人</t>
  </si>
  <si>
    <t>研发备注</t>
  </si>
  <si>
    <t>客需/交易后</t>
  </si>
  <si>
    <t>场外运营端（web）</t>
  </si>
  <si>
    <t>1、境外债券收益互换支持配置“汇率敞口算法”
2、支持债券互换集中和逐笔合约汇率敞口计算
3、支持累计结转模式</t>
  </si>
  <si>
    <t>FICC-91861</t>
  </si>
  <si>
    <t>【主需求】境外债券支持配置汇率敞口算法</t>
  </si>
  <si>
    <t>http://wiki.htzq.htsc.com.cn/pages/viewpage.action?pageId=455313229</t>
  </si>
  <si>
    <t>（2）3</t>
  </si>
  <si>
    <t>邓光明</t>
  </si>
  <si>
    <t>闻磊</t>
  </si>
  <si>
    <t>境外债付息交易流水、资金流水自动生成（启动开发）</t>
  </si>
  <si>
    <t>FICC-91862</t>
  </si>
  <si>
    <t>【主需求】境外债TRS付息/资金流水自动生成</t>
  </si>
  <si>
    <t>http://wiki.htzq.htsc.com.cn/pages/viewpage.action?pageId=437466519</t>
  </si>
  <si>
    <t xml:space="preserve">刘德宽 </t>
  </si>
  <si>
    <t>数据服务</t>
  </si>
  <si>
    <t>1.对接资讯BND_CASHFLOWPB表获取债券现金流数据</t>
  </si>
  <si>
    <t>FICC-91821</t>
  </si>
  <si>
    <t>【数据服务】债券现金流接入</t>
  </si>
  <si>
    <t>http://wiki.htzq.htsc.com.cn/pages/viewpage.action?pageId=452870601</t>
  </si>
  <si>
    <t>（2）2</t>
  </si>
  <si>
    <t>何鑫</t>
  </si>
  <si>
    <t>交易</t>
  </si>
  <si>
    <t>交易员工作站</t>
  </si>
  <si>
    <t>【book】book搜索接口需要返回Entity供前端查询</t>
  </si>
  <si>
    <t>FICC-91813</t>
  </si>
  <si>
    <t>【BOOK】支持查询book关联的booking entity</t>
  </si>
  <si>
    <t>（3）3</t>
  </si>
  <si>
    <t>孙大卫</t>
  </si>
  <si>
    <t>刘涛</t>
  </si>
  <si>
    <t>胡于凡/刘佩金</t>
  </si>
  <si>
    <t>支持中后台对接和交易后遗留内容</t>
  </si>
  <si>
    <t>FICC-92029</t>
  </si>
  <si>
    <t>【主需求】支持TARF中下游对接和交易后监控</t>
  </si>
  <si>
    <t>http://wiki.htzq.htsc.com.cn/pages/viewpage.action?pageId=424315538</t>
  </si>
  <si>
    <t>楚尧杰</t>
  </si>
  <si>
    <t>徐可</t>
  </si>
  <si>
    <t>估值及风险计量</t>
  </si>
  <si>
    <t>组合综合监控适配TARF及交易后遗留内容
组合综合监控：http://wiki.htzq.htsc.com.cn/pages/viewpage.action?pageId=173003476</t>
  </si>
  <si>
    <t>FICC-92058</t>
  </si>
  <si>
    <t>【估值及风险计量-交易员工作站】组合综合监控及交易后遗留内容</t>
  </si>
  <si>
    <t>高宇航</t>
  </si>
  <si>
    <t>Headsbos</t>
  </si>
  <si>
    <t>资金账户支持境外场景</t>
  </si>
  <si>
    <t>FICC-92028</t>
  </si>
  <si>
    <t>【交易-Headsbos】权限-资金账户支持境外场景</t>
  </si>
  <si>
    <t>http://wiki.htzq.htsc.com.cn/pages/viewpage.action?pageId=454751422</t>
  </si>
  <si>
    <t>（1）1</t>
  </si>
  <si>
    <t>吴克易琼/钱高翔/夏清/朱泓飞</t>
  </si>
  <si>
    <t>1. 完成做市交易链路境外本地化部署、易盛行情对接所有工作；
2. 完成外汇远期行情、静态数据接入相关功能开发；
3. 对接FSS平台，完成对冲交易链路ESP成交模式开发</t>
  </si>
  <si>
    <t>FICC-91048</t>
  </si>
  <si>
    <t>【主需求】港交所外汇期货做市项目开发（三）</t>
  </si>
  <si>
    <t>http://wiki.htzq.htsc.com.cn/pages/viewpage.action?pageId=441280821</t>
  </si>
  <si>
    <t>（4）2</t>
  </si>
  <si>
    <t>对冲侧-对接FSS平台，完成对冲交易链路ESP成交模式开发（启动开发）</t>
  </si>
  <si>
    <t>FICC-92037</t>
  </si>
  <si>
    <t>【交易-交易员工作站】港交所外汇即期远期对冲侧交易链路（启动开发）</t>
  </si>
  <si>
    <t>http://wiki.htzq.htsc.com.cn/pages/viewpage.action?pageId=424337370</t>
  </si>
  <si>
    <t>钱高翔/朱泓飞</t>
  </si>
  <si>
    <t>对冲侧-外汇行情看板功能开发</t>
  </si>
  <si>
    <t>FICC-91822</t>
  </si>
  <si>
    <t>【数据服务-交易员工作站】港交所外汇期货做市交易对冲侧外汇行情看板功能开发</t>
  </si>
  <si>
    <t>http://wiki.htzq.htsc.com.cn/pages/viewpage.action?pageId=432902954</t>
  </si>
  <si>
    <t>习云飞</t>
  </si>
  <si>
    <t>1、对冲渠道新增xswap
2、对客客户端IRS线上对冲标的匹配</t>
  </si>
  <si>
    <t>FICC-91865</t>
  </si>
  <si>
    <t>【主需求】IRS交易支持对接xswap实现线上对冲</t>
  </si>
  <si>
    <t>http://wiki.htzq.htsc.com.cn/pages/viewpage.action?pageId=450101163</t>
  </si>
  <si>
    <t xml:space="preserve"> 不涉及</t>
  </si>
  <si>
    <t>场外对冲交易链路支持将订单发到自营xswap渠道进行对冲交易，并获取成交回报翻转对客订单</t>
  </si>
  <si>
    <t>FICC-91866</t>
  </si>
  <si>
    <t>【交易-场外运营端】IRS交易支持对接xswap实现线上对冲</t>
  </si>
  <si>
    <t>孙大卫、王轮樟、陆中骞（看方案）</t>
  </si>
  <si>
    <t>风险管理工作站</t>
  </si>
  <si>
    <t>支持SOFR浮息债计量</t>
  </si>
  <si>
    <t>FICC-92060</t>
  </si>
  <si>
    <t>【主需求】支持SOFR浮息债计量</t>
  </si>
  <si>
    <t>董月升</t>
  </si>
  <si>
    <t>1.基于平安语料进行挂单、撤单、成交的指令解析和发送
2.支持策略对接
3.支持手动下单</t>
  </si>
  <si>
    <t>FICC-91788</t>
  </si>
  <si>
    <t>【主需求】iDeal机器人自动下单功能(新增支持平安利顺）</t>
  </si>
  <si>
    <t>http://wiki.htzq.htsc.com.cn/pages/viewpage.action?pageId=448024248</t>
  </si>
  <si>
    <t>李华晋、胡小忠</t>
  </si>
  <si>
    <t>习云飞、孙权</t>
  </si>
  <si>
    <t>1.支持日报等界面的OCI/AC账户的摊余成本法适配，主要包含风控总览和盈亏监控
2.支持各交易台信用减值数据替换</t>
  </si>
  <si>
    <t>FICC-92061</t>
  </si>
  <si>
    <t>【主需求】支持风控总览和盈亏监控界面的OCI/AC账户的摊余成本法适配</t>
  </si>
  <si>
    <t>http://wiki.htzq.htsc.com.cn/pages/viewpage.action?pageId=391885489</t>
  </si>
  <si>
    <t>（3）4</t>
  </si>
  <si>
    <t>张煦渤</t>
  </si>
  <si>
    <t>赵昱、高宇航</t>
  </si>
  <si>
    <t>展业工作站（web）</t>
  </si>
  <si>
    <t>支持财富管理部私行中心准入客户</t>
  </si>
  <si>
    <t>FICC-91789</t>
  </si>
  <si>
    <t>【主需求】支持财富管理部私行中心准入客户</t>
  </si>
  <si>
    <t>http://wiki.htzq.htsc.com.cn/pages/viewpage.action?pageId=444859437</t>
  </si>
  <si>
    <t xml:space="preserve">吴萍 </t>
  </si>
  <si>
    <t>奚杰杰</t>
  </si>
  <si>
    <t>1.支持向交易员发送偏离说明待办审批流程
2.excel导出优化</t>
  </si>
  <si>
    <t>FICC-92065</t>
  </si>
  <si>
    <t>【主需求】支持向交易员发送偏离说明待办审批流程和生成偏离度月报</t>
  </si>
  <si>
    <t>http://wiki.htzq.htsc.com.cn/pages/viewpage.action?pageId=452334885</t>
  </si>
  <si>
    <t>（1）2</t>
  </si>
  <si>
    <t>卞恺</t>
  </si>
  <si>
    <t>平台</t>
  </si>
  <si>
    <t>刘佩金/姜玉珠</t>
  </si>
  <si>
    <t>支持向交易员发送偏离说明待办审批流程</t>
  </si>
  <si>
    <t>FICC-92070</t>
  </si>
  <si>
    <t>【平台-风险管理工作站】支持待办流程配置和发送</t>
  </si>
  <si>
    <t>策略平台</t>
  </si>
  <si>
    <t>支持监管报表剔除银行间转托管数据</t>
  </si>
  <si>
    <t>FICC-92072</t>
  </si>
  <si>
    <t>【策略平台-风险管理工作站】支持银行间转托管数据剔除</t>
  </si>
  <si>
    <t>开发债券ETF风控规则</t>
  </si>
  <si>
    <t>FICC-91825</t>
  </si>
  <si>
    <t>【主需求】债券ETF二级交易</t>
  </si>
  <si>
    <t>http://wiki.htzq.htsc.com.cn/pages/viewpage.action?pageId=438196306</t>
  </si>
  <si>
    <t>陆中骞</t>
  </si>
  <si>
    <t>交付风控列表：价格偏离度，单债券ETF持仓限额，债券ETF总体持仓限额，持仓集中度</t>
  </si>
  <si>
    <t>1.支持接入PCF文件中的静态数据（剩余待确认部分）</t>
  </si>
  <si>
    <t>FICC-91827</t>
  </si>
  <si>
    <t>【数据服务】交易所债券ETF - PCF文件处理说明</t>
  </si>
  <si>
    <t>http://wiki.htzq.htsc.com.cn/pages/viewpage.action?pageId=422007883</t>
  </si>
  <si>
    <t>某些字段加工逻辑需要确认</t>
  </si>
  <si>
    <t>吴克易琼/孙玉涵</t>
  </si>
  <si>
    <t>完成需求分析与方案设计
1、彭博对客报价；
2、彭博客户询价与回复；
3、城堡证券对接执行对冲交易；
4、损益、风险管理</t>
  </si>
  <si>
    <t>http://wiki.htzq.htsc.com.cn/pages/viewpage.action?pageId=341393953</t>
  </si>
  <si>
    <t>吴克易琼/刘佩金/陈宁</t>
  </si>
  <si>
    <t>完成需求分析与方案设计
1、成交自动化簿记、对接Galaxy、Abacus；
2、交易风控指标监控和阈值配置；
3、损益、DV计算与展示</t>
  </si>
  <si>
    <t>http://wiki.htzq.htsc.com.cn/pages/viewpage.action?pageId=450074118</t>
  </si>
  <si>
    <t>【方案设计并启动开发】
1、新增增值税配置
2、生成增值税现金流
3、在合约维度估值中新增“未支付税费”及“已支付税费”字段，“未支付税费”计入合约价值字段
4、盯市和风控模块感知合约价值逻辑调整
5、“未支付税费”及“已支付税费”字段推送运营并复核</t>
  </si>
  <si>
    <t>FICC-91867</t>
  </si>
  <si>
    <t>【主需求】债券增值税现金流自动生成</t>
  </si>
  <si>
    <t>http://wiki.htzq.htsc.com.cn/pages/viewpage.action?pageId=454734722</t>
  </si>
  <si>
    <t xml:space="preserve">张弦  </t>
  </si>
  <si>
    <t>闻磊、姜健</t>
  </si>
  <si>
    <t>1.解析OB触发的提前资质更新提醒并触发给对应销售
2.OB触发的资质更新和证件有效期提醒加上过期时间
3. OB触发的重新尽调、信息变更、业务限制措施提醒不暂时过期时间和状态</t>
  </si>
  <si>
    <t>FICC-91790</t>
  </si>
  <si>
    <t>【主需求】资质更新提醒优化</t>
  </si>
  <si>
    <t>http://wiki.htzq.htsc.com.cn/pages/viewpage.action?pageId=292966089</t>
  </si>
  <si>
    <t>吴萍</t>
  </si>
  <si>
    <t>1.外币质押式回购/外币买断式回购
2.交易链路过中央交易室执行，无审批，无交易确认及清算导出
3.询价交易单批量下单（不支持单笔下单）
4.支持可用变化（即可用校验，只有这一个风控），及库存查询展示;
5.支持持仓变化（买断，不涉及风控），及持仓查询展示
6.前端涉及页面：询价交易单-回购、订单监控、成交监控、库存查询、持仓查询、交易执行</t>
  </si>
  <si>
    <t>FICC-91853</t>
  </si>
  <si>
    <t>【主需求】外币回购交易链路</t>
  </si>
  <si>
    <t>http://wiki.htzq.htsc.com.cn/x/raAaGw</t>
  </si>
  <si>
    <t>孙大卫、胡小忠，陆中骞、李致远、王轮樟</t>
  </si>
  <si>
    <t>姚团结 、赵昱、习云飞、孙权</t>
  </si>
  <si>
    <t>需求待补充</t>
  </si>
  <si>
    <t>1.接入外汇交易中心外汇交易USD交易日历
2.交易日历处理及日切处理</t>
  </si>
  <si>
    <t>FICC-87130</t>
  </si>
  <si>
    <t>【数据服务】接入外汇交易中心外汇交易USD交易日历</t>
  </si>
  <si>
    <t>http://wiki.htzq.htsc.com.cn/pages/createpage.action?spaceKey=ENAUDXPE68&amp;fromPageId=443098933</t>
  </si>
  <si>
    <t>资运部</t>
  </si>
  <si>
    <t>资金部2026年度IT需求申请（外币拆借交易链路）</t>
  </si>
  <si>
    <t>冯翔欣</t>
  </si>
  <si>
    <t>1.外币拆借
2.交易链路过中央交易室执行，含审批，交易确认及清算导出
3.询价交易单批量下单（不支持单笔下单）
4.前端涉及页面（待定）：批量下单、订单监控、成交监控、交易执行"</t>
  </si>
  <si>
    <t>FICC-91863</t>
  </si>
  <si>
    <t>【主需求】外币拆借交易链路</t>
  </si>
  <si>
    <t>http://wiki.htzq.htsc.com.cn/x/VaQaGw</t>
  </si>
  <si>
    <t>1、定义文件数据对接
2、保证金盯市相关数据对接
3、合约簿记复核状态变更数据推送</t>
  </si>
  <si>
    <t>FICC-91868</t>
  </si>
  <si>
    <t>【主需求】关于风险数据集市采集固收Cube和大象系统场外业务数据的需求</t>
  </si>
  <si>
    <t>http://wiki.htzq.htsc.com.cn/pages/viewpage.action?pageId=453483976</t>
  </si>
  <si>
    <t>唐超</t>
  </si>
  <si>
    <t>1.标的产品信息/行情信息数据对接</t>
  </si>
  <si>
    <t>FICC-92080</t>
  </si>
  <si>
    <t>关于风险数据集市采集固收Cube和大象系统场外业务数据的需求-新增接入手工录入行情数据</t>
  </si>
  <si>
    <t>http://wiki.htzq.htsc.com.cn/pages/viewpage.action?pageId=455325384</t>
  </si>
  <si>
    <t>FICC-91766</t>
  </si>
  <si>
    <t>【香港金控FICC】美国国债交易链路二期（支持彭博XOR自动化交易）</t>
  </si>
  <si>
    <t>http://wiki.htzq.htsc.com.cn/pages/viewpage.action?pageId=454746429</t>
  </si>
  <si>
    <t>李华晋、孙大卫</t>
  </si>
  <si>
    <t>姚团结</t>
  </si>
  <si>
    <t>预计本周彭博开放测试环境进行调试</t>
  </si>
  <si>
    <t>Headsbos【授权账户】功能菜单下，【外部系统】新增【彭博】枚举，【授权账户】支持录入大象用户对应的彭博交易员对应的UUID。</t>
  </si>
  <si>
    <t>http://jira.htzq.htsc.com.cn/browse/FICC-92016</t>
  </si>
  <si>
    <t>“授权账户”外部系统新增“彭博”枚举值</t>
  </si>
  <si>
    <t>http://wiki.htzq.htsc.com.cn/pages/viewpage.action?pageId=454748222</t>
  </si>
  <si>
    <t>1（1）</t>
  </si>
  <si>
    <t>FICC-92075</t>
  </si>
  <si>
    <t>【主需求】LAMP0328优化</t>
  </si>
  <si>
    <t>http://wiki.htzq.htsc.com.cn/pages/viewpage.action?pageId=453497008</t>
  </si>
  <si>
    <t>开发胜率计算标签</t>
  </si>
  <si>
    <t>FICC-91792</t>
  </si>
  <si>
    <t>【主需求】iDeal客户画像持续开发</t>
  </si>
  <si>
    <t>1.从资讯港股IPO表接入【发行结果公布日期】字段</t>
  </si>
  <si>
    <t>FICC-91831</t>
  </si>
  <si>
    <t>【主需求】支持接入【发行结果公布日期】</t>
  </si>
  <si>
    <t>http://wiki.htzq.htsc.com.cn/pages/viewpage.action?pageId=453486175</t>
  </si>
  <si>
    <t>1.从资讯src_center_admin.mds_bloomberg_ficc_market_calendar表接入交易日历和结算日历</t>
  </si>
  <si>
    <t>FICC-91832</t>
  </si>
  <si>
    <t>【主需求】接入资讯中心彭博交易日历和结算日历</t>
  </si>
  <si>
    <t>http://wiki.htzq.htsc.com.cn/pages/viewpage.action?pageId=453500273</t>
  </si>
  <si>
    <t>本迭代进项方案设计和评估</t>
  </si>
  <si>
    <t>上交所互联网平台迁移相关功能适配改造：
1、竞价交易单：点击成交报价；
2、综合交易单：非匹配成交下单；</t>
  </si>
  <si>
    <t>FICC-91824</t>
  </si>
  <si>
    <t>【主需求】上证固收平台切换配合改造（点击成交、非匹配成交）</t>
  </si>
  <si>
    <t>http://wiki.htzq.htsc.com.cn/pages/viewpage.action?pageId=449428742</t>
  </si>
  <si>
    <t>孙大卫、崔冬、李源畅</t>
  </si>
  <si>
    <t>点击成交增加字段
协商成交</t>
  </si>
  <si>
    <t>交易对手文件解析交易对手接入</t>
  </si>
  <si>
    <t>FICC-92578</t>
  </si>
  <si>
    <t>【数据服务】O45迁移+交易所固收平台切换至互联网平台</t>
  </si>
  <si>
    <t>http://wiki.htzq.htsc.com.cn/pages/viewpage.action?pageId=459150396</t>
  </si>
  <si>
    <t>数据样例还未下发，等待产品分析</t>
  </si>
  <si>
    <t>FICC-91671</t>
  </si>
  <si>
    <t>【主需求】美国国债簿记内部重构优化</t>
  </si>
  <si>
    <t>http://wiki.htzq.htsc.com.cn/pages/viewpage.action?pageId=430998512</t>
  </si>
  <si>
    <t>Abacus期初持仓功能</t>
  </si>
  <si>
    <t>v</t>
  </si>
  <si>
    <t>（问题修复）修复南向通债券事前风控应急白名单不生效问题；</t>
  </si>
  <si>
    <t>FICC-91220</t>
  </si>
  <si>
    <t>【主需求】南向通债券风控应急白名单支持（问题修复）</t>
  </si>
  <si>
    <t>http://wiki.htzq.htsc.com.cn/pages/viewpage.action?pageId=451236933</t>
  </si>
  <si>
    <t>（问题修复）修复金交所现货标的的日间持仓双边开仓计算问题；</t>
  </si>
  <si>
    <t>FICC-91218</t>
  </si>
  <si>
    <t>【主需求】金交所现货标的日间持仓计算（问题修复）</t>
  </si>
  <si>
    <t>南向通交易BPM迁移</t>
  </si>
  <si>
    <t>固收部南向通业务：
1、新增账户管理员审批节点；
2、迁移BPM平台；</t>
  </si>
  <si>
    <t>FICC-91653</t>
  </si>
  <si>
    <t>【主需求】固收部南向通流程迁移BPM及新增账户管理员审批</t>
  </si>
  <si>
    <t>http://wiki.htzq.htsc.com.cn/pages/viewpage.action?pageId=453493816</t>
  </si>
  <si>
    <t>iDeal撤单逻辑优化</t>
  </si>
  <si>
    <t>客户侧发起撤单时需要先等待回价撤成功再撤询价</t>
  </si>
  <si>
    <t>FICC-91798</t>
  </si>
  <si>
    <t>【主需求】iDeal撤单逻辑优化</t>
  </si>
  <si>
    <t>http://wiki.htzq.htsc.com.cn/pages/viewpage.action?pageId=444301602</t>
  </si>
  <si>
    <t>胡小忠、李华晋</t>
  </si>
  <si>
    <t>配合OB调整受益人一级、二级类型、产品类型字段的枚举值</t>
  </si>
  <si>
    <t>FICC-91793</t>
  </si>
  <si>
    <t>【主需要】配合OB字段枚举值调整</t>
  </si>
  <si>
    <t>http://wiki.htzq.htsc.com.cn/pages/viewpage.action?pageId=453508105</t>
  </si>
  <si>
    <t>协议报备页面增加签署部门字段</t>
  </si>
  <si>
    <t>已发起协议列表页增加签署部门字段</t>
  </si>
  <si>
    <t>FICC-91795</t>
  </si>
  <si>
    <t>【主需求】协议报备页面增加签署部门</t>
  </si>
  <si>
    <t>http://wiki.htzq.htsc.com.cn/pages/viewpage.action?pageId=437472062</t>
  </si>
  <si>
    <t>内部优化</t>
  </si>
  <si>
    <t>场外期权入池场景技术优化</t>
  </si>
  <si>
    <t>优化场外期权数量过多导致入池失败的场景</t>
  </si>
  <si>
    <t>FICC-90876</t>
  </si>
  <si>
    <t>【主需求】场外期权入池场景技术优化</t>
  </si>
  <si>
    <t>http://wiki.htzq.htsc.com.cn/pages/viewpage.action?pageId=452350299</t>
  </si>
  <si>
    <t>姜健</t>
  </si>
  <si>
    <t>外部依赖，BPM需要改造，下个迭代交付</t>
  </si>
  <si>
    <t>通用审批页，申请内容支持按照文件形式展示</t>
  </si>
  <si>
    <t>FICC-91768</t>
  </si>
  <si>
    <t>【平台-headsbos】审批-申请内容支持按照文件形式展示</t>
  </si>
  <si>
    <t>http://wiki.htzq.htsc.com.cn/pages/viewpage.action?pageId=453495134</t>
  </si>
  <si>
    <t>票据业务交易执行成交编号优化</t>
  </si>
  <si>
    <t>钟威</t>
  </si>
  <si>
    <t>前端优化：票据业务交易执行执行反馈环节自动生成成交编号
后端：进行唯一性验证</t>
  </si>
  <si>
    <t>FICC-91177</t>
  </si>
  <si>
    <t>【主需求】票据业务交易执行成交编号优化</t>
  </si>
  <si>
    <t>不涉及</t>
  </si>
  <si>
    <t>票据业务新增机构代码字段</t>
  </si>
  <si>
    <t>综合交易单、订单监控、交易执行新增【机构代码】字段</t>
  </si>
  <si>
    <t>FICC-91873</t>
  </si>
  <si>
    <t>【主需求】票据业务新增票据代码字段</t>
  </si>
  <si>
    <t>“交易簿授权”页面搜索优化</t>
  </si>
  <si>
    <t>产品台</t>
  </si>
  <si>
    <t>赵翰卿</t>
  </si>
  <si>
    <t>“交易簿授权”支持“客户ID”和“客户名称”的模糊搜索</t>
  </si>
  <si>
    <t>FICC-91767</t>
  </si>
  <si>
    <t>【主需求】权限-交易簿授权搜索优化</t>
  </si>
  <si>
    <t xml:space="preserve">http://wiki.htzq.htsc.com.cn/pages/viewpage.action?pageId=453494473
 </t>
  </si>
  <si>
    <t>方乾</t>
  </si>
  <si>
    <t>何薛树</t>
  </si>
  <si>
    <t>支持审批人上传审批附件</t>
  </si>
  <si>
    <t>合规风控台</t>
  </si>
  <si>
    <t>朱国淋</t>
  </si>
  <si>
    <t>通用审批页中支持审批人上传审批附件</t>
  </si>
  <si>
    <t>FICC-91769</t>
  </si>
  <si>
    <t>【主需求】审批-支持审批人上传审批附件</t>
  </si>
  <si>
    <t>http://wiki.htzq.htsc.com.cn/pages/viewpage.action?pageId=453496226</t>
  </si>
  <si>
    <t>夏庆飞</t>
  </si>
  <si>
    <t>消息通知-大象权限报表收件人优化</t>
  </si>
  <si>
    <t>大象权限报表，去掉离职用户和转岗用户</t>
  </si>
  <si>
    <t>FICC-91772</t>
  </si>
  <si>
    <t>【主需求】消息通知-大象权限报表收件人优化</t>
  </si>
  <si>
    <t>http://wiki.htzq.htsc.com.cn/pages/viewpage.action?pageId=454072834</t>
  </si>
  <si>
    <t>朱洲</t>
  </si>
  <si>
    <t>用户管理界面支持配置账户权限</t>
  </si>
  <si>
    <t>用户管理界面，展示自营账户权限，“添加角色”的按钮，</t>
  </si>
  <si>
    <t>FICC-91775</t>
  </si>
  <si>
    <t>【主需求】权限-用户管理界面支持配置账户权限</t>
  </si>
  <si>
    <t>http://wiki.htzq.htsc.com.cn/pages/viewpage.action?pageId=454066485</t>
  </si>
  <si>
    <t>AURORA平台优化及HAB整合</t>
  </si>
  <si>
    <t>策略管理服务迁移及功能优化</t>
  </si>
  <si>
    <t>姜瀚</t>
  </si>
  <si>
    <t>场外运营侧内部优化</t>
  </si>
  <si>
    <t xml:space="preserve">1、资金流水全选推送T平台交互优化
2、客户信息管理支持客户ID和客户名称模糊搜索
3、交易所费率增加资产类型维度
</t>
  </si>
  <si>
    <t>FICC-91870</t>
  </si>
  <si>
    <t>【主需求】场外运营侧内部优化</t>
  </si>
  <si>
    <t>http://wiki.htzq.htsc.com.cn/pages/viewpage.action?pageId=455950394</t>
  </si>
  <si>
    <t>场外对客客户端内部优化</t>
  </si>
  <si>
    <t>场外对客Web端</t>
  </si>
  <si>
    <t>1、美债期货订单查询按下单格式展示
2、安全控件下载交互优化</t>
  </si>
  <si>
    <t>FICC-91871</t>
  </si>
  <si>
    <t>【主需求】场外对客客户端内部优化</t>
  </si>
  <si>
    <t>【权限】权限菜单数据导出</t>
  </si>
  <si>
    <t xml:space="preserve">支持在机构管理、角色管理、用户管理界面增加“导出”数据按钮，支持进行权限导出
</t>
  </si>
  <si>
    <t>FICC-91872</t>
  </si>
  <si>
    <t>【主需求】权限-权限菜单数据导出</t>
  </si>
  <si>
    <t>http://wiki.htzq.htsc.com.cn/pages/viewpage.action?pageId=378271671</t>
  </si>
  <si>
    <t>hkfh_ficc域服务下线/停服</t>
  </si>
  <si>
    <t>同步各域定位及使用情况，主要推动不再使用的域进行下线</t>
  </si>
  <si>
    <t>FICC-91881</t>
  </si>
  <si>
    <t>确认hkfh_ficc域使用情况，并推动下线/停服</t>
  </si>
  <si>
    <t>http://wiki.htzq.htsc.com.cn/pages/viewpage.action?pageId=450076387</t>
  </si>
  <si>
    <t xml:space="preserve">金工:沈彦捷；策略：姜瀚；交易：陆中骞  </t>
  </si>
  <si>
    <t>策略批量导入前端提示问题修复</t>
  </si>
  <si>
    <t>王盛朋</t>
  </si>
  <si>
    <t>node proxy上线</t>
  </si>
  <si>
    <t>node bff对接proxy访问nats接口</t>
  </si>
  <si>
    <t>http://wiki.htzq.htsc.com.cn/pages/viewpage.action?pageId=451220308</t>
  </si>
  <si>
    <t>证券池评级优化</t>
  </si>
  <si>
    <t>发起和修改证券池评级信息时信用主体非必填</t>
  </si>
  <si>
    <t>FICC-92274</t>
  </si>
  <si>
    <t>【主需求】证券池评级优化</t>
  </si>
  <si>
    <t>http://wiki.htzq.htsc.com.cn/pages/viewpage.action?pageId=354620964</t>
  </si>
  <si>
    <t>信用衍生品成交反馈优化</t>
  </si>
  <si>
    <t>信用衍生品成交反馈中成交编号提供默认值*</t>
  </si>
  <si>
    <t>FICC-92036</t>
  </si>
  <si>
    <t>【主需求】信用衍生品成交反馈优化</t>
  </si>
  <si>
    <t>交易所回购行情快照和逐笔成交数据数据处理</t>
  </si>
  <si>
    <t>1.持久化存储上交所、深交所回购的Tick级别行情快照和逐笔成交数据
2.补充2023.01.01至今上交所、深交所回购的行情快照和逐笔成交历史数据</t>
  </si>
  <si>
    <t>FICC-92383</t>
  </si>
  <si>
    <t>【主需求】交易所回购行情快照和逐笔成交数据数据处理</t>
  </si>
  <si>
    <t>美国国债期货、股指期货、利率期货静态数据维护</t>
  </si>
  <si>
    <t>朱泓飞</t>
  </si>
  <si>
    <t>1.手工维护并刷入美国国债期货、股指期货、利率期货静态数据</t>
  </si>
  <si>
    <t>FICC-92577</t>
  </si>
  <si>
    <t>【数据服务】美国国债期货、股指期货、利率期货静态数据维护</t>
  </si>
  <si>
    <t>http://wiki.htzq.htsc.com.cn/x/YktmGw</t>
  </si>
  <si>
    <t>固收部【境内】</t>
  </si>
  <si>
    <r>
      <rPr>
        <sz val="12"/>
        <color rgb="FF000000"/>
        <rFont val="微软雅黑"/>
        <charset val="134"/>
      </rPr>
      <t>发给</t>
    </r>
    <r>
      <rPr>
        <sz val="12"/>
        <color rgb="FFFF0000"/>
        <rFont val="微软雅黑"/>
        <charset val="134"/>
      </rPr>
      <t>固收部</t>
    </r>
    <r>
      <rPr>
        <sz val="12"/>
        <color rgb="FF000000"/>
        <rFont val="微软雅黑"/>
        <charset val="134"/>
      </rPr>
      <t>验收清单需包含的列头</t>
    </r>
  </si>
  <si>
    <t>每次发版评审，额外所需列头</t>
  </si>
  <si>
    <r>
      <t xml:space="preserve">所属中心
</t>
    </r>
    <r>
      <rPr>
        <b/>
        <sz val="12"/>
        <color rgb="FFFF0000"/>
        <rFont val="微软雅黑"/>
        <charset val="134"/>
      </rPr>
      <t>【产品确认】</t>
    </r>
  </si>
  <si>
    <r>
      <rPr>
        <b/>
        <sz val="12"/>
        <color rgb="FF000000"/>
        <rFont val="微软雅黑"/>
        <charset val="134"/>
      </rPr>
      <t xml:space="preserve">验收人
</t>
    </r>
    <r>
      <rPr>
        <b/>
        <sz val="12"/>
        <color rgb="FFFF0000"/>
        <rFont val="微软雅黑"/>
        <charset val="134"/>
      </rPr>
      <t>【产品确认】</t>
    </r>
  </si>
  <si>
    <r>
      <rPr>
        <b/>
        <sz val="12"/>
        <color rgb="FF000000"/>
        <rFont val="微软雅黑"/>
        <charset val="134"/>
      </rPr>
      <t xml:space="preserve">业务需求编号
</t>
    </r>
    <r>
      <rPr>
        <b/>
        <sz val="12"/>
        <color rgb="FFFF0000"/>
        <rFont val="微软雅黑"/>
        <charset val="134"/>
      </rPr>
      <t>【产品确认】</t>
    </r>
  </si>
  <si>
    <t>产品jira</t>
  </si>
  <si>
    <t>概要</t>
  </si>
  <si>
    <t>业务验收内容</t>
  </si>
  <si>
    <t>经办人</t>
  </si>
  <si>
    <r>
      <rPr>
        <b/>
        <sz val="12"/>
        <color rgb="FF000000"/>
        <rFont val="微软雅黑"/>
        <charset val="134"/>
      </rPr>
      <t xml:space="preserve">产品验收状态
</t>
    </r>
    <r>
      <rPr>
        <b/>
        <sz val="12"/>
        <color rgb="FFFF0000"/>
        <rFont val="微软雅黑"/>
        <charset val="134"/>
      </rPr>
      <t>【产品确认】</t>
    </r>
  </si>
  <si>
    <r>
      <rPr>
        <b/>
        <sz val="12"/>
        <color rgb="FF000000"/>
        <rFont val="微软雅黑"/>
        <charset val="134"/>
      </rPr>
      <t xml:space="preserve">是否完整交付
</t>
    </r>
    <r>
      <rPr>
        <b/>
        <sz val="12"/>
        <color rgb="FFFF0000"/>
        <rFont val="微软雅黑"/>
        <charset val="134"/>
      </rPr>
      <t>【产品确认】</t>
    </r>
  </si>
  <si>
    <t>是否业务验收</t>
  </si>
  <si>
    <t>需求提出部门</t>
  </si>
  <si>
    <t>运维关注</t>
  </si>
  <si>
    <t>生产环境配置</t>
  </si>
  <si>
    <t>周一验证</t>
  </si>
  <si>
    <t>SOFR浮息债计量</t>
  </si>
  <si>
    <t>通过</t>
  </si>
  <si>
    <t>刘皓楠、江宣辰、朱国淋</t>
  </si>
  <si>
    <t>债券ETF二级交易</t>
  </si>
  <si>
    <t xml:space="preserve">风控规则：
1、价格偏离度：新增债券ETF维度
2、持仓限额（授权）：新增债券ETF、现券汇总维度
3、持仓限额（信评）：新增债券ETF维度 
4、持仓比例：支持债券ETF、股票ETF维度 </t>
  </si>
  <si>
    <t>陈斯飏</t>
  </si>
  <si>
    <t>外币回购交易链路</t>
  </si>
  <si>
    <t>1.外币质押式回购
2.交易链路过固收内部执行，支持清算导出，无审批，无交易确认
3.询价交易单批量下单（不支持单笔下单）
4.支持可用变化（即可用校验），及库存查询展示;
5.前端涉及页面：询价交易单-回购、订单监控、成交监控、库存查询、交易处理、交易执行</t>
  </si>
  <si>
    <t>支持向交易员发送偏离说明待办审批流程和生成偏离度月报</t>
  </si>
  <si>
    <t>1、向交易员发送偏离说明待办审批流程
2、生成偏离度月报
3、excel导出所选数据
4、监管报表剔除银行间转托管数据</t>
  </si>
  <si>
    <t>资质更新提醒优化</t>
  </si>
  <si>
    <t>1.支持财富管理部用户发起衍生品客户准入流程
2.页面填写内容和分支一致，审批节点按照业务要求进行设置</t>
  </si>
  <si>
    <t>梁斯婷</t>
  </si>
  <si>
    <t>1.通过个券行情可以对平安利顺的行情进行点击下单
2.点击后打开iDeal机器人下单窗口，确认后消息发布至平安利顺
3.支持策略直接下单至平安利顺</t>
  </si>
  <si>
    <t>固收产品团队</t>
  </si>
  <si>
    <t>1.美债期货、股指期货标的所需字段信息完备准确、可查询</t>
  </si>
  <si>
    <t>票据业务新增票据机构代码字段</t>
  </si>
  <si>
    <t>1.综合交易单支持交易对手和票据机构代码，互相反显
2.交易执行展示票据机构代码</t>
  </si>
  <si>
    <t>1、资金流水全选推送T平台交互优化
2、客户信息管理支持客户ID和客户名称模糊搜索
3、交易所费率增加资产类型维度</t>
  </si>
  <si>
    <t>赵翰卿、黄达</t>
  </si>
  <si>
    <t>协议报备页面增加签署部门</t>
  </si>
  <si>
    <t>审批-支持审批人上传审批附件</t>
  </si>
  <si>
    <t>1、审批人在Headsbos审批中心，支持上传审批附件。
2、在Headsbos审批中心的审批记录中，支持展示审批附件。</t>
  </si>
  <si>
    <t>权限-交易簿授权搜索优化</t>
  </si>
  <si>
    <t>1、在“客户ID”，输入内容后点击查询，支持模糊搜索，所有相关内容都在列表中展示出来
2、在“客户名称”，输入内容后点击查询，支持模糊搜索，所有相关内容都在列表中展示出来</t>
  </si>
  <si>
    <t>薛博一、陈文婕</t>
  </si>
  <si>
    <t>配置变更</t>
  </si>
  <si>
    <t>固收部南向通流程迁移BPM及新增账户管理员审批</t>
  </si>
  <si>
    <t>南向通交易：
1、交易下单流程流程新增“账户管理人审批”节点，审批流为：业务人员发起-账户管理人审批-台长审批-信评审批-风控人员审批-部门负责人审批；
2、交易下单审批功能入口迁移至“审批单监控&gt;补充审批单监控”；
3、簿记审批流程不变；</t>
  </si>
  <si>
    <t>徐科迪</t>
  </si>
  <si>
    <t>金交所现货标的日间持仓计算（问题修复）</t>
  </si>
  <si>
    <t>功能入口：交易员工作站&gt;期货交易单
验收功能点：对于现货类标的（如Au99.99、Au99.95等），下单限制为仅可点击买入开仓、卖出平仓，从而避免双边持仓计算。</t>
  </si>
  <si>
    <t>验证中</t>
  </si>
  <si>
    <t>固收部【境外】</t>
  </si>
  <si>
    <t>1、新增Future Settlement Report（未来交收报告）页面
2、组合综合监控适配</t>
  </si>
  <si>
    <t>胡于凡／刘佩金</t>
  </si>
  <si>
    <t>韩克雄/赵泰之</t>
  </si>
  <si>
    <t>港交所外汇期货做市项目开发（三）</t>
  </si>
  <si>
    <t>港交所外汇期货做市交易链路境外本地化部署，支持策略和手工下单至易盛柜台，策略可调用易盛柜台行情进行下单。</t>
  </si>
  <si>
    <t>美国国债交易链路二期（支持彭博XOR自动化交易）</t>
  </si>
  <si>
    <r>
      <t>1. 下单要素新增【内部执行人员</t>
    </r>
    <r>
      <rPr>
        <sz val="11"/>
        <color rgb="FF000000"/>
        <rFont val="Times New Roman"/>
        <charset val="134"/>
      </rPr>
      <t>   </t>
    </r>
    <r>
      <rPr>
        <sz val="11"/>
        <color rgb="FF000000"/>
        <rFont val="微软雅黑"/>
        <charset val="134"/>
      </rPr>
      <t>】字段，下单时选择中央交易台交易员，交易员信息通过彭博接口传至彭博执行。
2. 交易链路对接彭博XOR自动交易模块，可以收到自动回价、接受价格后自动进行成交执行。
3. Headsbos【授权账户】功能菜单下，【外部系统】新增【彭博】枚举，【授权账户】支持录入大象用户对应的彭博交易员对应的UUID。</t>
    </r>
  </si>
  <si>
    <r>
      <rPr>
        <sz val="12"/>
        <color rgb="FF000000"/>
        <rFont val="微软雅黑"/>
        <charset val="134"/>
      </rPr>
      <t>发给</t>
    </r>
    <r>
      <rPr>
        <sz val="12"/>
        <color rgb="FFFF0000"/>
        <rFont val="微软雅黑"/>
        <charset val="134"/>
      </rPr>
      <t>资运部</t>
    </r>
    <r>
      <rPr>
        <sz val="12"/>
        <color rgb="FF000000"/>
        <rFont val="微软雅黑"/>
        <charset val="134"/>
      </rPr>
      <t>验收清单需包含的列头</t>
    </r>
  </si>
  <si>
    <r>
      <rPr>
        <b/>
        <sz val="12"/>
        <color rgb="FF000000"/>
        <rFont val="微软雅黑"/>
        <charset val="134"/>
      </rPr>
      <t xml:space="preserve">需求归属
</t>
    </r>
    <r>
      <rPr>
        <b/>
        <sz val="12"/>
        <color rgb="FFFF0000"/>
        <rFont val="微软雅黑"/>
        <charset val="134"/>
      </rPr>
      <t>【产品确认】</t>
    </r>
  </si>
  <si>
    <t>阶段</t>
  </si>
  <si>
    <t>日期</t>
  </si>
  <si>
    <t>工作事项（计划）</t>
  </si>
  <si>
    <t>进展总结
（1/19日）</t>
  </si>
  <si>
    <t>进展总结
（1/20日）</t>
  </si>
  <si>
    <t>进展总结
（1/21日）</t>
  </si>
  <si>
    <t>进展总结
（1/22日）</t>
  </si>
  <si>
    <t>进展总结
（1/28日）</t>
  </si>
  <si>
    <t>项目组工作</t>
  </si>
  <si>
    <t>产品团队</t>
  </si>
  <si>
    <t>研发团队</t>
  </si>
  <si>
    <t>BRD评估阶段</t>
  </si>
  <si>
    <t>各业务部门需求收集和登记
明确需求技术牵头人</t>
  </si>
  <si>
    <t>登记产品优化需求
明确需求产品牵头人
筛选BRD未达到准入条件的需求列表</t>
  </si>
  <si>
    <r>
      <rPr>
        <b/>
        <sz val="11"/>
        <color rgb="FF000000"/>
        <rFont val="微软雅黑"/>
        <charset val="134"/>
      </rPr>
      <t xml:space="preserve">一、进展总结
1. 需求收集：共收到26条业务需求，其中:
</t>
    </r>
    <r>
      <rPr>
        <sz val="11"/>
        <color rgb="FF000000"/>
        <rFont val="微软雅黑"/>
        <charset val="134"/>
      </rPr>
      <t>a.固收部境内外共22条（12条新需求+10条在研需求）
b.中央交易室1条，资金运营部2条，风控部1条
需求的牵头产品经理和技术负责人已全部完成填写，完成率</t>
    </r>
    <r>
      <rPr>
        <b/>
        <sz val="11"/>
        <color rgb="FFFF0000"/>
        <rFont val="微软雅黑"/>
        <charset val="134"/>
      </rPr>
      <t>100%</t>
    </r>
    <r>
      <rPr>
        <sz val="11"/>
        <color rgb="FF000000"/>
        <rFont val="微软雅黑"/>
        <charset val="134"/>
      </rPr>
      <t xml:space="preserve">。
2. </t>
    </r>
    <r>
      <rPr>
        <b/>
        <sz val="11"/>
        <color rgb="FF000000"/>
        <rFont val="微软雅黑"/>
        <charset val="134"/>
      </rPr>
      <t>BRD准入评估：</t>
    </r>
    <r>
      <rPr>
        <sz val="11"/>
        <color rgb="FF000000"/>
        <rFont val="微软雅黑"/>
        <charset val="134"/>
      </rPr>
      <t>已确定21条需求满足BRD准入标准，5条需求正在评估中。评估完成率</t>
    </r>
    <r>
      <rPr>
        <b/>
        <sz val="11"/>
        <color rgb="FFFF0000"/>
        <rFont val="微软雅黑"/>
        <charset val="134"/>
      </rPr>
      <t>81%</t>
    </r>
    <r>
      <rPr>
        <sz val="11"/>
        <color rgb="FF000000"/>
        <rFont val="微软雅黑"/>
        <charset val="134"/>
      </rPr>
      <t>（=21/26）
3</t>
    </r>
    <r>
      <rPr>
        <b/>
        <sz val="11"/>
        <color rgb="FF000000"/>
        <rFont val="微软雅黑"/>
        <charset val="134"/>
      </rPr>
      <t>. 需求纳入评估</t>
    </r>
    <r>
      <rPr>
        <sz val="11"/>
        <color rgb="FF000000"/>
        <rFont val="微软雅黑"/>
        <charset val="134"/>
      </rPr>
      <t>：15条拟纳入，11条正在评估中，需求纳入评估完成百分比</t>
    </r>
    <r>
      <rPr>
        <b/>
        <sz val="11"/>
        <color rgb="FFFF0000"/>
        <rFont val="微软雅黑"/>
        <charset val="134"/>
      </rPr>
      <t>58%</t>
    </r>
    <r>
      <rPr>
        <sz val="11"/>
        <color rgb="FF000000"/>
        <rFont val="微软雅黑"/>
        <charset val="134"/>
      </rPr>
      <t>（=15/26）。
4</t>
    </r>
    <r>
      <rPr>
        <b/>
        <sz val="11"/>
        <color rgb="FF000000"/>
        <rFont val="微软雅黑"/>
        <charset val="134"/>
      </rPr>
      <t xml:space="preserve">. 预估迭代评估：
</t>
    </r>
    <r>
      <rPr>
        <sz val="11"/>
        <color rgb="FF000000"/>
        <rFont val="微软雅黑"/>
        <charset val="134"/>
      </rPr>
      <t>a. 针对15条拟纳入需求，已完成6条需求的预估迭代评估和0328交付内容评估。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</si>
  <si>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
业务需求：共收到27条，其中:
</t>
    </r>
    <r>
      <rPr>
        <sz val="11"/>
        <color rgb="FF000000"/>
        <rFont val="微软雅黑"/>
        <charset val="134"/>
      </rPr>
      <t>a.固收部境内外共23条（12条新需求+11条在研需求）
b.中央交易室1条，资金运营部2条，风控部1条
需求的牵头产品经理和技术负责人已全部完成填写，完成率</t>
    </r>
    <r>
      <rPr>
        <b/>
        <sz val="11"/>
        <color rgb="FFFF0000"/>
        <rFont val="微软雅黑"/>
        <charset val="134"/>
      </rPr>
      <t>100%</t>
    </r>
    <r>
      <rPr>
        <sz val="11"/>
        <color rgb="FF000000"/>
        <rFont val="微软雅黑"/>
        <charset val="134"/>
      </rPr>
      <t xml:space="preserve">。
内生性需求【收集截止日1/28日】：产品团队已登记4条，技术团队登记0条。
2. </t>
    </r>
    <r>
      <rPr>
        <b/>
        <sz val="11"/>
        <color rgb="FF000000"/>
        <rFont val="微软雅黑"/>
        <charset val="134"/>
      </rPr>
      <t>BRD准入评估：</t>
    </r>
    <r>
      <rPr>
        <sz val="11"/>
        <color rgb="FF000000"/>
        <rFont val="微软雅黑"/>
        <charset val="134"/>
      </rPr>
      <t>已确定25条需求满足BRD准入标准，2条需求正在评估中。评估完成率</t>
    </r>
    <r>
      <rPr>
        <b/>
        <sz val="11"/>
        <color rgb="FFFF0000"/>
        <rFont val="微软雅黑"/>
        <charset val="134"/>
      </rPr>
      <t>93%</t>
    </r>
    <r>
      <rPr>
        <sz val="11"/>
        <color rgb="FF000000"/>
        <rFont val="微软雅黑"/>
        <charset val="134"/>
      </rPr>
      <t>（=25/27）
3</t>
    </r>
    <r>
      <rPr>
        <b/>
        <sz val="11"/>
        <color rgb="FF000000"/>
        <rFont val="微软雅黑"/>
        <charset val="134"/>
      </rPr>
      <t>. 需求纳入评估</t>
    </r>
    <r>
      <rPr>
        <sz val="11"/>
        <color rgb="FF000000"/>
        <rFont val="微软雅黑"/>
        <charset val="134"/>
      </rPr>
      <t>：18条拟纳入,1条不纳入，8条正在评估中，需求纳入评估完成百分比</t>
    </r>
    <r>
      <rPr>
        <b/>
        <sz val="11"/>
        <color rgb="FFFF0000"/>
        <rFont val="微软雅黑"/>
        <charset val="134"/>
      </rPr>
      <t>70%</t>
    </r>
    <r>
      <rPr>
        <sz val="11"/>
        <color rgb="FF000000"/>
        <rFont val="微软雅黑"/>
        <charset val="134"/>
      </rPr>
      <t>（=19/27）。
4</t>
    </r>
    <r>
      <rPr>
        <b/>
        <sz val="11"/>
        <color rgb="FF000000"/>
        <rFont val="微软雅黑"/>
        <charset val="134"/>
      </rPr>
      <t xml:space="preserve">. 预估迭代评估：
</t>
    </r>
    <r>
      <rPr>
        <sz val="11"/>
        <color rgb="FF000000"/>
        <rFont val="微软雅黑"/>
        <charset val="134"/>
      </rPr>
      <t>a. 针对18条拟纳入需求，已完成8条需求的预估迭代评估和0328交付内容评估。
b.针对1条不纳入需求，已完成不纳入理由填写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</si>
  <si>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
业务需求：共收到27条，其中:
    </t>
    </r>
    <r>
      <rPr>
        <sz val="11"/>
        <color rgb="FF000000"/>
        <rFont val="微软雅黑"/>
        <charset val="134"/>
      </rPr>
      <t>a. 固收部境内外共23条（12条新需求+11条在研需求）
    b. 中央交易室1条，资金运营部2条，风控部1条
    c. 需求的牵头产品经理和技术负责人已全部完成填写，完成率</t>
    </r>
    <r>
      <rPr>
        <b/>
        <sz val="11"/>
        <color rgb="FFFF0000"/>
        <rFont val="微软雅黑"/>
        <charset val="134"/>
      </rPr>
      <t>100%</t>
    </r>
    <r>
      <rPr>
        <sz val="11"/>
        <color rgb="FF000000"/>
        <rFont val="微软雅黑"/>
        <charset val="134"/>
      </rPr>
      <t xml:space="preserve">。
</t>
    </r>
    <r>
      <rPr>
        <b/>
        <sz val="11"/>
        <color rgb="FF000000"/>
        <rFont val="微软雅黑"/>
        <charset val="134"/>
      </rPr>
      <t>内生性需求</t>
    </r>
    <r>
      <rPr>
        <sz val="11"/>
        <color rgb="FF000000"/>
        <rFont val="微软雅黑"/>
        <charset val="134"/>
      </rPr>
      <t>【</t>
    </r>
    <r>
      <rPr>
        <sz val="11"/>
        <color rgb="FFFF0000"/>
        <rFont val="微软雅黑"/>
        <charset val="134"/>
      </rPr>
      <t>收集截止日1/28日</t>
    </r>
    <r>
      <rPr>
        <sz val="11"/>
        <color rgb="FF000000"/>
        <rFont val="微软雅黑"/>
        <charset val="134"/>
      </rPr>
      <t>】：产品团队已登记7条，技术团队登记</t>
    </r>
    <r>
      <rPr>
        <b/>
        <sz val="11"/>
        <color rgb="FFFF0000"/>
        <rFont val="微软雅黑"/>
        <charset val="134"/>
      </rPr>
      <t>0</t>
    </r>
    <r>
      <rPr>
        <sz val="11"/>
        <color rgb="FF000000"/>
        <rFont val="微软雅黑"/>
        <charset val="134"/>
      </rPr>
      <t xml:space="preserve">条。
2. </t>
    </r>
    <r>
      <rPr>
        <b/>
        <sz val="11"/>
        <color rgb="FF000000"/>
        <rFont val="微软雅黑"/>
        <charset val="134"/>
      </rPr>
      <t>BRD准入评估：</t>
    </r>
    <r>
      <rPr>
        <sz val="11"/>
        <color rgb="FF000000"/>
        <rFont val="微软雅黑"/>
        <charset val="134"/>
      </rPr>
      <t>已确定25条需求满足BRD准入标准，2条需求正在评估中。评估完成率</t>
    </r>
    <r>
      <rPr>
        <b/>
        <sz val="11"/>
        <color rgb="FFFF0000"/>
        <rFont val="微软雅黑"/>
        <charset val="134"/>
      </rPr>
      <t>93%</t>
    </r>
    <r>
      <rPr>
        <sz val="11"/>
        <color rgb="FF000000"/>
        <rFont val="微软雅黑"/>
        <charset val="134"/>
      </rPr>
      <t>（=25/27）
3</t>
    </r>
    <r>
      <rPr>
        <b/>
        <sz val="11"/>
        <color rgb="FF000000"/>
        <rFont val="微软雅黑"/>
        <charset val="134"/>
      </rPr>
      <t>. 需求纳入评估</t>
    </r>
    <r>
      <rPr>
        <sz val="11"/>
        <color rgb="FF000000"/>
        <rFont val="微软雅黑"/>
        <charset val="134"/>
      </rPr>
      <t>：21条拟纳入,3条不纳入，3条正在评估中，需求纳入评估完成百分比</t>
    </r>
    <r>
      <rPr>
        <b/>
        <sz val="11"/>
        <color rgb="FFFF0000"/>
        <rFont val="微软雅黑"/>
        <charset val="134"/>
      </rPr>
      <t>89%</t>
    </r>
    <r>
      <rPr>
        <sz val="11"/>
        <color rgb="FF000000"/>
        <rFont val="微软雅黑"/>
        <charset val="134"/>
      </rPr>
      <t>（=24/27）。
4</t>
    </r>
    <r>
      <rPr>
        <b/>
        <sz val="11"/>
        <color rgb="FF000000"/>
        <rFont val="微软雅黑"/>
        <charset val="134"/>
      </rPr>
      <t xml:space="preserve">. 预估迭代评估：
</t>
    </r>
    <r>
      <rPr>
        <sz val="11"/>
        <color rgb="FF000000"/>
        <rFont val="微软雅黑"/>
        <charset val="134"/>
      </rPr>
      <t>a. 针对21条拟纳入需求，已完成11条需求的预估迭代评估和0328交付内容评估。
b. 3条不纳入的需求，其中1条已完成理由说明。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</si>
  <si>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
业务需求：共收到27条，其中:
    </t>
    </r>
    <r>
      <rPr>
        <sz val="11"/>
        <color rgb="FF000000"/>
        <rFont val="微软雅黑"/>
        <charset val="134"/>
      </rPr>
      <t>a. 固收部境内外共23条（12条新需求+11条在研需求）
    b. 中央交易室1条，资金运营部2条，风控部1条
    c. 需求的牵头产品经理和技术负责人已全部完成填写，完成率</t>
    </r>
    <r>
      <rPr>
        <b/>
        <sz val="11"/>
        <color rgb="FFFF0000"/>
        <rFont val="微软雅黑"/>
        <charset val="134"/>
      </rPr>
      <t>100%</t>
    </r>
    <r>
      <rPr>
        <sz val="11"/>
        <color rgb="FF000000"/>
        <rFont val="微软雅黑"/>
        <charset val="134"/>
      </rPr>
      <t xml:space="preserve">。
</t>
    </r>
    <r>
      <rPr>
        <b/>
        <sz val="11"/>
        <color rgb="FF000000"/>
        <rFont val="微软雅黑"/>
        <charset val="134"/>
      </rPr>
      <t>内生性需求</t>
    </r>
    <r>
      <rPr>
        <sz val="11"/>
        <color rgb="FF000000"/>
        <rFont val="微软雅黑"/>
        <charset val="134"/>
      </rPr>
      <t>【</t>
    </r>
    <r>
      <rPr>
        <sz val="11"/>
        <color rgb="FFFF0000"/>
        <rFont val="微软雅黑"/>
        <charset val="134"/>
      </rPr>
      <t>收集截止日1/28日</t>
    </r>
    <r>
      <rPr>
        <sz val="11"/>
        <color rgb="FF000000"/>
        <rFont val="微软雅黑"/>
        <charset val="134"/>
      </rPr>
      <t>】：产品团队已登记</t>
    </r>
    <r>
      <rPr>
        <b/>
        <sz val="11"/>
        <color rgb="FFFF0000"/>
        <rFont val="微软雅黑"/>
        <charset val="134"/>
      </rPr>
      <t>7</t>
    </r>
    <r>
      <rPr>
        <sz val="11"/>
        <color rgb="FF000000"/>
        <rFont val="微软雅黑"/>
        <charset val="134"/>
      </rPr>
      <t>条，技术团队登记</t>
    </r>
    <r>
      <rPr>
        <b/>
        <sz val="11"/>
        <color rgb="FFFF0000"/>
        <rFont val="微软雅黑"/>
        <charset val="134"/>
      </rPr>
      <t>2</t>
    </r>
    <r>
      <rPr>
        <sz val="11"/>
        <color rgb="FF000000"/>
        <rFont val="微软雅黑"/>
        <charset val="134"/>
      </rPr>
      <t xml:space="preserve">条。
2. </t>
    </r>
    <r>
      <rPr>
        <b/>
        <sz val="11"/>
        <color rgb="FF000000"/>
        <rFont val="微软雅黑"/>
        <charset val="134"/>
      </rPr>
      <t>BRD准入评估：</t>
    </r>
    <r>
      <rPr>
        <sz val="11"/>
        <color rgb="FF000000"/>
        <rFont val="微软雅黑"/>
        <charset val="134"/>
      </rPr>
      <t>已确定25条需求满足BRD准入标准，2条需求正在评估中。评估完成率</t>
    </r>
    <r>
      <rPr>
        <b/>
        <sz val="11"/>
        <color rgb="FFFF0000"/>
        <rFont val="微软雅黑"/>
        <charset val="134"/>
      </rPr>
      <t>93%</t>
    </r>
    <r>
      <rPr>
        <sz val="11"/>
        <color rgb="FF000000"/>
        <rFont val="微软雅黑"/>
        <charset val="134"/>
      </rPr>
      <t>（=25/27）
3</t>
    </r>
    <r>
      <rPr>
        <b/>
        <sz val="11"/>
        <color rgb="FF000000"/>
        <rFont val="微软雅黑"/>
        <charset val="134"/>
      </rPr>
      <t>. 需求纳入评估</t>
    </r>
    <r>
      <rPr>
        <sz val="11"/>
        <color rgb="FF000000"/>
        <rFont val="微软雅黑"/>
        <charset val="134"/>
      </rPr>
      <t>：17条拟纳入,9条不纳入，1条正在评估中，需求纳入评估完成百分比</t>
    </r>
    <r>
      <rPr>
        <b/>
        <sz val="11"/>
        <color rgb="FFFF0000"/>
        <rFont val="微软雅黑"/>
        <charset val="134"/>
      </rPr>
      <t>96%</t>
    </r>
    <r>
      <rPr>
        <sz val="11"/>
        <color rgb="FF000000"/>
        <rFont val="微软雅黑"/>
        <charset val="134"/>
      </rPr>
      <t>（=26/27）。
4</t>
    </r>
    <r>
      <rPr>
        <b/>
        <sz val="11"/>
        <color rgb="FF000000"/>
        <rFont val="微软雅黑"/>
        <charset val="134"/>
      </rPr>
      <t xml:space="preserve">. 预估迭代评估：
</t>
    </r>
    <r>
      <rPr>
        <sz val="11"/>
        <color rgb="FF000000"/>
        <rFont val="微软雅黑"/>
        <charset val="134"/>
      </rPr>
      <t>a. 针对17条拟纳入需求，已完成9条需求的预估迭代评估和0328交付内容评估。
b. 9条不纳入的需求，其中2条已完成理由说明。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</si>
  <si>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
业务需求：共收到27条，其中:
    </t>
    </r>
    <r>
      <rPr>
        <sz val="11"/>
        <color rgb="FF000000"/>
        <rFont val="微软雅黑"/>
        <charset val="134"/>
      </rPr>
      <t>a. 固收部境内外共23条（12条新需求+11条在研需求）
    b. 中央交易室1条，资金运营部2条，风控部1条
    c. 需求的牵头产品经理和技术负责人已全部完成填写，完成率</t>
    </r>
    <r>
      <rPr>
        <b/>
        <sz val="11"/>
        <color rgb="FFFF0000"/>
        <rFont val="微软雅黑"/>
        <charset val="134"/>
      </rPr>
      <t>100%</t>
    </r>
    <r>
      <rPr>
        <sz val="11"/>
        <color rgb="FF000000"/>
        <rFont val="微软雅黑"/>
        <charset val="134"/>
      </rPr>
      <t xml:space="preserve">。
</t>
    </r>
    <r>
      <rPr>
        <b/>
        <sz val="11"/>
        <color rgb="FF000000"/>
        <rFont val="微软雅黑"/>
        <charset val="134"/>
      </rPr>
      <t>内生性需求</t>
    </r>
    <r>
      <rPr>
        <sz val="11"/>
        <color rgb="FF000000"/>
        <rFont val="微软雅黑"/>
        <charset val="134"/>
      </rPr>
      <t>【</t>
    </r>
    <r>
      <rPr>
        <sz val="11"/>
        <color rgb="FFFF0000"/>
        <rFont val="微软雅黑"/>
        <charset val="134"/>
      </rPr>
      <t>收集截止日1/28日</t>
    </r>
    <r>
      <rPr>
        <sz val="11"/>
        <color rgb="FF000000"/>
        <rFont val="微软雅黑"/>
        <charset val="134"/>
      </rPr>
      <t>】：已登记</t>
    </r>
    <r>
      <rPr>
        <b/>
        <sz val="11"/>
        <color rgb="FFFF0000"/>
        <rFont val="微软雅黑"/>
        <charset val="134"/>
      </rPr>
      <t>16</t>
    </r>
    <r>
      <rPr>
        <sz val="11"/>
        <color rgb="FF000000"/>
        <rFont val="微软雅黑"/>
        <charset val="134"/>
      </rPr>
      <t xml:space="preserve">条内生性需求。
2. </t>
    </r>
    <r>
      <rPr>
        <b/>
        <sz val="11"/>
        <color rgb="FF000000"/>
        <rFont val="微软雅黑"/>
        <charset val="134"/>
      </rPr>
      <t>BRD准入评估：</t>
    </r>
    <r>
      <rPr>
        <sz val="11"/>
        <color rgb="FF000000"/>
        <rFont val="微软雅黑"/>
        <charset val="134"/>
      </rPr>
      <t>已确定25条需求满足BRD准入标准，2条需求正在评估中。评估完成率</t>
    </r>
    <r>
      <rPr>
        <b/>
        <sz val="11"/>
        <color rgb="FFFF0000"/>
        <rFont val="微软雅黑"/>
        <charset val="134"/>
      </rPr>
      <t>100%</t>
    </r>
    <r>
      <rPr>
        <sz val="11"/>
        <color rgb="FF000000"/>
        <rFont val="微软雅黑"/>
        <charset val="134"/>
      </rPr>
      <t>（=27/27）
3</t>
    </r>
    <r>
      <rPr>
        <b/>
        <sz val="11"/>
        <color rgb="FF000000"/>
        <rFont val="微软雅黑"/>
        <charset val="134"/>
      </rPr>
      <t>. 需求纳入评估</t>
    </r>
    <r>
      <rPr>
        <sz val="11"/>
        <color rgb="FF000000"/>
        <rFont val="微软雅黑"/>
        <charset val="134"/>
      </rPr>
      <t>：17条拟纳入,10条不纳入，需求纳入评估完成百分比</t>
    </r>
    <r>
      <rPr>
        <b/>
        <sz val="11"/>
        <color rgb="FFFF0000"/>
        <rFont val="微软雅黑"/>
        <charset val="134"/>
      </rPr>
      <t>100%</t>
    </r>
    <r>
      <rPr>
        <sz val="11"/>
        <color rgb="FF000000"/>
        <rFont val="微软雅黑"/>
        <charset val="134"/>
      </rPr>
      <t>（=27/27）。
4</t>
    </r>
    <r>
      <rPr>
        <b/>
        <sz val="11"/>
        <color rgb="FF000000"/>
        <rFont val="微软雅黑"/>
        <charset val="134"/>
      </rPr>
      <t xml:space="preserve">. 预估迭代评估：
</t>
    </r>
    <r>
      <rPr>
        <sz val="11"/>
        <color rgb="FF000000"/>
        <rFont val="微软雅黑"/>
        <charset val="134"/>
      </rPr>
      <t>a. 针对17条拟纳入需求，</t>
    </r>
    <r>
      <rPr>
        <b/>
        <sz val="11"/>
        <color rgb="FFFF0000"/>
        <rFont val="微软雅黑"/>
        <charset val="134"/>
      </rPr>
      <t>已全部完成</t>
    </r>
    <r>
      <rPr>
        <sz val="11"/>
        <color rgb="FF000000"/>
        <rFont val="微软雅黑"/>
        <charset val="134"/>
      </rPr>
      <t>预估迭代评估和0328交付内容评估。
b. 10条不纳入的需求，</t>
    </r>
    <r>
      <rPr>
        <b/>
        <sz val="11"/>
        <color rgb="FFFF0000"/>
        <rFont val="微软雅黑"/>
        <charset val="134"/>
      </rPr>
      <t>已全部完成</t>
    </r>
    <r>
      <rPr>
        <sz val="11"/>
        <color rgb="FF000000"/>
        <rFont val="微软雅黑"/>
        <charset val="134"/>
      </rPr>
      <t xml:space="preserve">理由说明。
</t>
    </r>
    <r>
      <rPr>
        <b/>
        <sz val="11"/>
        <color rgb="FF000000"/>
        <rFont val="微软雅黑"/>
        <charset val="134"/>
      </rPr>
      <t>5. 技术负责人确认：</t>
    </r>
    <r>
      <rPr>
        <sz val="11"/>
        <color rgb="FF000000"/>
        <rFont val="微软雅黑"/>
        <charset val="134"/>
      </rPr>
      <t xml:space="preserve">
a. 针对17条拟纳入需求的排期，各技术负责人已完成16条确认，剩余一条待确认，完成率</t>
    </r>
    <r>
      <rPr>
        <b/>
        <sz val="12"/>
        <color rgb="FFFF0000"/>
        <rFont val="微软雅黑"/>
        <charset val="134"/>
      </rPr>
      <t>96%</t>
    </r>
    <r>
      <rPr>
        <sz val="11"/>
        <color rgb="FF000000"/>
        <rFont val="微软雅黑"/>
        <charset val="134"/>
      </rPr>
      <t>（=26/27）
二、</t>
    </r>
    <r>
      <rPr>
        <b/>
        <sz val="11"/>
        <color rgb="FF000000"/>
        <rFont val="微软雅黑"/>
        <charset val="134"/>
      </rPr>
      <t>风险提示：</t>
    </r>
    <r>
      <rPr>
        <sz val="11"/>
        <color rgb="FF000000"/>
        <rFont val="微软雅黑"/>
        <charset val="134"/>
      </rPr>
      <t xml:space="preserve">
1. 无</t>
    </r>
  </si>
  <si>
    <t>向业务反馈未达到准入的需求列表，启动需求澄清</t>
  </si>
  <si>
    <t>针对未达到准入标准的BRD，与业务沟通澄清</t>
  </si>
  <si>
    <t>跟进未达准入BRD的澄清进度
协调产品和研发对齐工作节奏</t>
  </si>
  <si>
    <t>筛选出本迭代肯定排不了的需求（BRD满足准入）</t>
  </si>
  <si>
    <r>
      <rPr>
        <b/>
        <sz val="11"/>
        <color rgb="FF000000"/>
        <rFont val="微软雅黑"/>
        <charset val="134"/>
      </rPr>
      <t>进度跟踪：</t>
    </r>
    <r>
      <rPr>
        <sz val="11"/>
        <color rgb="FF000000"/>
        <rFont val="微软雅黑"/>
        <charset val="134"/>
      </rPr>
      <t xml:space="preserve">
1. 每日跟踪各团队工作进展</t>
    </r>
  </si>
  <si>
    <r>
      <rPr>
        <b/>
        <sz val="11"/>
        <color rgb="FF000000"/>
        <rFont val="微软雅黑"/>
        <charset val="134"/>
      </rPr>
      <t>BRD评估：</t>
    </r>
    <r>
      <rPr>
        <sz val="11"/>
        <color rgb="FF000000"/>
        <rFont val="微软雅黑"/>
        <charset val="134"/>
      </rPr>
      <t xml:space="preserve">
1.登记是否纳入交付
2.登记预估迭代内容</t>
    </r>
  </si>
  <si>
    <r>
      <rPr>
        <b/>
        <sz val="11"/>
        <color rgb="FF000000"/>
        <rFont val="微软雅黑"/>
        <charset val="134"/>
      </rPr>
      <t>BRD评估：</t>
    </r>
    <r>
      <rPr>
        <sz val="11"/>
        <color rgb="FF000000"/>
        <rFont val="微软雅黑"/>
        <charset val="134"/>
      </rPr>
      <t xml:space="preserve">
1. 研发侧交付评估，与产品一起完成BRD评估
2. 确认产品团队登记的预估迭代内容
3. 登记技术内生性需求</t>
    </r>
  </si>
  <si>
    <t>向固收反馈BRD评估结果</t>
  </si>
  <si>
    <t>迭代排期阶段</t>
  </si>
  <si>
    <t>组织需求澄清过程，发起会邀</t>
  </si>
  <si>
    <t>明确本迭代各模块具体交付内容</t>
  </si>
  <si>
    <t>向研发做需求澄清</t>
  </si>
  <si>
    <t>参与需求澄清</t>
  </si>
  <si>
    <t>向研发需求澄清</t>
  </si>
  <si>
    <t>需求澄清结果反馈</t>
  </si>
  <si>
    <t>研发阶段.....</t>
  </si>
  <si>
    <t>监督需求澄清反馈结果</t>
  </si>
  <si>
    <t>1.需求澄清结果反馈
2.启动本迭代研发</t>
  </si>
  <si>
    <t>......</t>
  </si>
</sst>
</file>

<file path=xl/styles.xml><?xml version="1.0" encoding="utf-8"?>
<styleSheet xmlns="http://schemas.openxmlformats.org/spreadsheetml/2006/main">
  <numFmts count="37">
    <numFmt numFmtId="176" formatCode="[=1]&quot;☑&quot;;[=0]&quot;☐&quot;;0;@"/>
    <numFmt numFmtId="177" formatCode="[DBNum1][$-804]yyyy&quot;年&quot;m&quot;月&quot;"/>
    <numFmt numFmtId="178" formatCode="\¥#,##0.00;[Red]\¥\-#,##0.00"/>
    <numFmt numFmtId="23" formatCode="\$#,##0_);\(\$#,##0\)"/>
    <numFmt numFmtId="179" formatCode="#\ ??/??"/>
    <numFmt numFmtId="24" formatCode="\$#,##0_);[Red]\(\$#,##0\)"/>
    <numFmt numFmtId="180" formatCode="mmmm\-yy"/>
    <numFmt numFmtId="7" formatCode="&quot;￥&quot;#,##0.00;&quot;￥&quot;\-#,##0.00"/>
    <numFmt numFmtId="181" formatCode="\¥#,##0;[Red]\¥\-#,##0"/>
    <numFmt numFmtId="26" formatCode="\$#,##0.00_);[Red]\(\$#,##0.00\)"/>
    <numFmt numFmtId="25" formatCode="\$#,##0.00_);\(\$#,##0.00\)"/>
    <numFmt numFmtId="182" formatCode="h:mm:ss\ AM/PM"/>
    <numFmt numFmtId="183" formatCode="[DBNum1]上午/下午h&quot;时&quot;mm&quot;分&quot;"/>
    <numFmt numFmtId="184" formatCode="[DBNum1][$-804]m&quot;月&quot;d&quot;日&quot;"/>
    <numFmt numFmtId="185" formatCode="#\ ??"/>
    <numFmt numFmtId="8" formatCode="&quot;￥&quot;#,##0.00;[Red]&quot;￥&quot;\-#,##0.00"/>
    <numFmt numFmtId="186" formatCode="[DBNum1][$-804]yyyy&quot;年&quot;m&quot;月&quot;d&quot;日&quot;"/>
    <numFmt numFmtId="187" formatCode="[$-804]aaa"/>
    <numFmt numFmtId="6" formatCode="&quot;￥&quot;#,##0;[Red]&quot;￥&quot;\-#,##0"/>
    <numFmt numFmtId="188" formatCode="[$-804]aaaa"/>
    <numFmt numFmtId="189" formatCode="yyyy/m/d\ h:mm\ AM/PM"/>
    <numFmt numFmtId="190" formatCode="mm/dd/yy"/>
    <numFmt numFmtId="191" formatCode="mmmmm\-yy"/>
    <numFmt numFmtId="192" formatCode="#\ ?/?"/>
    <numFmt numFmtId="5" formatCode="&quot;￥&quot;#,##0;&quot;￥&quot;\-#,##0"/>
    <numFmt numFmtId="193" formatCode="mmmmm"/>
    <numFmt numFmtId="194" formatCode="yy/m/d"/>
    <numFmt numFmtId="42" formatCode="_ &quot;￥&quot;* #,##0_ ;_ &quot;￥&quot;* \-#,##0_ ;_ &quot;￥&quot;* &quot;-&quot;_ ;_ @_ "/>
    <numFmt numFmtId="195" formatCode="h:mm\ AM/PM"/>
    <numFmt numFmtId="196" formatCode="\¥#,##0.00;\¥\-#,##0.00"/>
    <numFmt numFmtId="197" formatCode="[DBNum1]h&quot;时&quot;mm&quot;分&quot;"/>
    <numFmt numFmtId="198" formatCode="m/d"/>
    <numFmt numFmtId="199" formatCode="\¥#,##0;\¥\-#,##0"/>
    <numFmt numFmtId="200" formatCode="dd\-mmm\-yy"/>
    <numFmt numFmtId="41" formatCode="_ * #,##0_ ;_ * \-#,##0_ ;_ * &quot;-&quot;_ ;_ @_ "/>
    <numFmt numFmtId="44" formatCode="_ &quot;￥&quot;* #,##0.00_ ;_ &quot;￥&quot;* \-#,##0.00_ ;_ &quot;￥&quot;* &quot;-&quot;??_ ;_ @_ "/>
    <numFmt numFmtId="43" formatCode="_ * #,##0.00_ ;_ * \-#,##0.00_ ;_ * &quot;-&quot;??_ ;_ @_ "/>
  </numFmts>
  <fonts count="46">
    <font>
      <sz val="11"/>
      <color theme="1"/>
      <name val="宋体"/>
      <charset val="134"/>
      <scheme val="minor"/>
    </font>
    <font>
      <sz val="11"/>
      <color theme="1"/>
      <name val="微软雅黑"/>
      <charset val="134"/>
    </font>
    <font>
      <b/>
      <sz val="11"/>
      <color rgb="FFFFFFFF"/>
      <name val="微软雅黑"/>
      <charset val="134"/>
    </font>
    <font>
      <b/>
      <sz val="11"/>
      <color rgb="FF000000"/>
      <name val="微软雅黑"/>
      <charset val="134"/>
    </font>
    <font>
      <sz val="11"/>
      <color rgb="FF000000"/>
      <name val="微软雅黑"/>
      <charset val="134"/>
    </font>
    <font>
      <b/>
      <sz val="11"/>
      <color theme="1"/>
      <name val="微软雅黑"/>
      <charset val="134"/>
    </font>
    <font>
      <b/>
      <sz val="12"/>
      <color rgb="FF000000"/>
      <name val="微软雅黑"/>
      <charset val="134"/>
    </font>
    <font>
      <sz val="12"/>
      <color rgb="FF000000"/>
      <name val="微软雅黑"/>
      <charset val="134"/>
    </font>
    <font>
      <b/>
      <sz val="12"/>
      <color rgb="FFFFFFFF"/>
      <name val="微软雅黑"/>
      <charset val="134"/>
    </font>
    <font>
      <sz val="12"/>
      <color rgb="FFFFFFFF"/>
      <name val="微软雅黑"/>
      <charset val="134"/>
    </font>
    <font>
      <sz val="11"/>
      <color theme="1"/>
      <name val="微软雅黑"/>
      <charset val="0"/>
    </font>
    <font>
      <sz val="11"/>
      <color rgb="FF0000FF"/>
      <name val="微软雅黑"/>
      <charset val="0"/>
    </font>
    <font>
      <sz val="11"/>
      <color rgb="FF0000FF"/>
      <name val="微软雅黑"/>
      <charset val="134"/>
    </font>
    <font>
      <u/>
      <sz val="11"/>
      <color rgb="FF0000FF"/>
      <name val="微软雅黑"/>
      <charset val="134"/>
    </font>
    <font>
      <u/>
      <sz val="10.5"/>
      <color rgb="FF0000FF"/>
      <name val="宋体"/>
      <charset val="134"/>
      <scheme val="minor"/>
    </font>
    <font>
      <b/>
      <sz val="11"/>
      <color rgb="FFC00000"/>
      <name val="微软雅黑"/>
      <charset val="134"/>
    </font>
    <font>
      <sz val="11"/>
      <color rgb="FF172B4D"/>
      <name val="微软雅黑"/>
      <charset val="134"/>
    </font>
    <font>
      <strike/>
      <sz val="11"/>
      <color theme="1"/>
      <name val="微软雅黑"/>
      <charset val="134"/>
    </font>
    <font>
      <strike/>
      <sz val="11"/>
      <color rgb="FF000000"/>
      <name val="微软雅黑"/>
      <charset val="134"/>
    </font>
    <font>
      <strike/>
      <u/>
      <sz val="11"/>
      <color rgb="FF0000FF"/>
      <name val="微软雅黑"/>
      <charset val="134"/>
    </font>
    <font>
      <u/>
      <sz val="10.5"/>
      <color rgb="FF0000FF"/>
      <name val="宋体"/>
      <charset val="134"/>
    </font>
    <font>
      <sz val="11"/>
      <color rgb="FF000000"/>
      <name val="微软雅黑"/>
      <charset val="0"/>
    </font>
    <font>
      <sz val="11"/>
      <color rgb="FFFF0000"/>
      <name val="微软雅黑"/>
      <charset val="134"/>
    </font>
    <font>
      <sz val="11"/>
      <color rgb="FFFA7D00"/>
      <name val="宋体"/>
      <charset val="0"/>
      <scheme val="minor"/>
    </font>
    <font>
      <sz val="11"/>
      <color theme="1"/>
      <name val="宋体"/>
      <charset val="0"/>
      <scheme val="minor"/>
    </font>
    <font>
      <sz val="11"/>
      <color theme="0"/>
      <name val="宋体"/>
      <charset val="0"/>
      <scheme val="minor"/>
    </font>
    <font>
      <u/>
      <sz val="11"/>
      <color rgb="FF0000FF"/>
      <name val="宋体"/>
      <charset val="0"/>
      <scheme val="minor"/>
    </font>
    <font>
      <b/>
      <sz val="11"/>
      <color theme="3"/>
      <name val="宋体"/>
      <charset val="134"/>
      <scheme val="minor"/>
    </font>
    <font>
      <b/>
      <sz val="11"/>
      <color theme="1"/>
      <name val="宋体"/>
      <charset val="0"/>
      <scheme val="minor"/>
    </font>
    <font>
      <b/>
      <sz val="18"/>
      <color theme="3"/>
      <name val="宋体"/>
      <charset val="134"/>
      <scheme val="minor"/>
    </font>
    <font>
      <b/>
      <sz val="15"/>
      <color theme="3"/>
      <name val="宋体"/>
      <charset val="134"/>
      <scheme val="minor"/>
    </font>
    <font>
      <b/>
      <sz val="11"/>
      <color rgb="FF3F3F3F"/>
      <name val="宋体"/>
      <charset val="0"/>
      <scheme val="minor"/>
    </font>
    <font>
      <b/>
      <sz val="11"/>
      <color rgb="FFFFFFFF"/>
      <name val="宋体"/>
      <charset val="0"/>
      <scheme val="minor"/>
    </font>
    <font>
      <b/>
      <sz val="13"/>
      <color theme="3"/>
      <name val="宋体"/>
      <charset val="134"/>
      <scheme val="minor"/>
    </font>
    <font>
      <sz val="11"/>
      <color rgb="FF006100"/>
      <name val="宋体"/>
      <charset val="0"/>
      <scheme val="minor"/>
    </font>
    <font>
      <u/>
      <sz val="11"/>
      <color rgb="FF800080"/>
      <name val="宋体"/>
      <charset val="0"/>
      <scheme val="minor"/>
    </font>
    <font>
      <b/>
      <sz val="11"/>
      <color rgb="FFFA7D00"/>
      <name val="宋体"/>
      <charset val="0"/>
      <scheme val="minor"/>
    </font>
    <font>
      <sz val="11"/>
      <color rgb="FF3F3F76"/>
      <name val="宋体"/>
      <charset val="0"/>
      <scheme val="minor"/>
    </font>
    <font>
      <sz val="11"/>
      <color rgb="FFFF0000"/>
      <name val="宋体"/>
      <charset val="0"/>
      <scheme val="minor"/>
    </font>
    <font>
      <sz val="11"/>
      <color rgb="FF9C0006"/>
      <name val="宋体"/>
      <charset val="0"/>
      <scheme val="minor"/>
    </font>
    <font>
      <i/>
      <sz val="11"/>
      <color rgb="FF7F7F7F"/>
      <name val="宋体"/>
      <charset val="0"/>
      <scheme val="minor"/>
    </font>
    <font>
      <sz val="11"/>
      <color rgb="FF9C6500"/>
      <name val="宋体"/>
      <charset val="0"/>
      <scheme val="minor"/>
    </font>
    <font>
      <b/>
      <sz val="12"/>
      <color rgb="FFFF0000"/>
      <name val="微软雅黑"/>
      <charset val="134"/>
    </font>
    <font>
      <b/>
      <sz val="11"/>
      <color rgb="FFFF0000"/>
      <name val="微软雅黑"/>
      <charset val="134"/>
    </font>
    <font>
      <sz val="12"/>
      <color rgb="FFFF0000"/>
      <name val="微软雅黑"/>
      <charset val="134"/>
    </font>
    <font>
      <sz val="11"/>
      <color rgb="FF000000"/>
      <name val="Times New Roman"/>
      <charset val="134"/>
    </font>
  </fonts>
  <fills count="48">
    <fill>
      <patternFill patternType="none"/>
    </fill>
    <fill>
      <patternFill patternType="gray125"/>
    </fill>
    <fill>
      <patternFill patternType="solid">
        <fgColor rgb="FF2F5597"/>
        <bgColor indexed="64"/>
      </patternFill>
    </fill>
    <fill>
      <patternFill patternType="solid">
        <fgColor rgb="FFFFFF00"/>
        <bgColor indexed="64"/>
      </patternFill>
    </fill>
    <fill>
      <patternFill patternType="solid">
        <fgColor rgb="FFBDD7EE"/>
        <bgColor indexed="64"/>
      </patternFill>
    </fill>
    <fill>
      <patternFill patternType="solid">
        <fgColor rgb="FFE2F0D9"/>
        <bgColor indexed="64"/>
      </patternFill>
    </fill>
    <fill>
      <patternFill patternType="solid">
        <fgColor rgb="FF385723"/>
        <bgColor indexed="64"/>
      </patternFill>
    </fill>
    <fill>
      <patternFill patternType="solid">
        <fgColor rgb="FF9DC3E6"/>
        <bgColor indexed="64"/>
      </patternFill>
    </fill>
    <fill>
      <patternFill patternType="solid">
        <fgColor rgb="FF2E75B6"/>
        <bgColor indexed="64"/>
      </patternFill>
    </fill>
    <fill>
      <patternFill patternType="solid">
        <fgColor rgb="FFBFBFBF"/>
        <bgColor indexed="64"/>
      </patternFill>
    </fill>
    <fill>
      <patternFill patternType="solid">
        <fgColor rgb="FF8FAADC"/>
        <bgColor indexed="64"/>
      </patternFill>
    </fill>
    <fill>
      <patternFill patternType="solid">
        <fgColor rgb="FFE7E6E6"/>
        <bgColor indexed="64"/>
      </patternFill>
    </fill>
    <fill>
      <patternFill patternType="solid">
        <fgColor rgb="FFFFFFFF"/>
        <bgColor indexed="64"/>
      </patternFill>
    </fill>
    <fill>
      <patternFill patternType="solid">
        <fgColor rgb="FFC5E0B4"/>
        <bgColor indexed="64"/>
      </patternFill>
    </fill>
    <fill>
      <patternFill patternType="solid">
        <fgColor rgb="FFD6DCE4"/>
        <bgColor indexed="64"/>
      </patternFill>
    </fill>
    <fill>
      <patternFill patternType="solid">
        <fgColor rgb="FFED7D31"/>
        <bgColor indexed="64"/>
      </patternFill>
    </fill>
    <fill>
      <patternFill patternType="solid">
        <fgColor rgb="FFFCE4D6"/>
        <bgColor indexed="64"/>
      </patternFill>
    </fill>
    <fill>
      <patternFill patternType="solid">
        <fgColor theme="4" tint="0.599993896298105"/>
        <bgColor indexed="64"/>
      </patternFill>
    </fill>
    <fill>
      <patternFill patternType="solid">
        <fgColor theme="9"/>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rgb="FFC6EFCE"/>
        <bgColor indexed="64"/>
      </patternFill>
    </fill>
    <fill>
      <patternFill patternType="solid">
        <fgColor theme="6"/>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5"/>
        <bgColor indexed="64"/>
      </patternFill>
    </fill>
    <fill>
      <patternFill patternType="solid">
        <fgColor theme="4"/>
        <bgColor indexed="64"/>
      </patternFill>
    </fill>
    <fill>
      <patternFill patternType="solid">
        <fgColor theme="8" tint="0.399975585192419"/>
        <bgColor indexed="64"/>
      </patternFill>
    </fill>
    <fill>
      <patternFill patternType="solid">
        <fgColor rgb="FFFFCC99"/>
        <bgColor indexed="64"/>
      </patternFill>
    </fill>
    <fill>
      <patternFill patternType="solid">
        <fgColor theme="7"/>
        <bgColor indexed="64"/>
      </patternFill>
    </fill>
    <fill>
      <patternFill patternType="solid">
        <fgColor rgb="FFFFC7CE"/>
        <bgColor indexed="64"/>
      </patternFill>
    </fill>
    <fill>
      <patternFill patternType="solid">
        <fgColor theme="7" tint="0.799981688894314"/>
        <bgColor indexed="64"/>
      </patternFill>
    </fill>
    <fill>
      <patternFill patternType="solid">
        <fgColor rgb="FFFFFFCC"/>
        <bgColor indexed="64"/>
      </patternFill>
    </fill>
    <fill>
      <patternFill patternType="solid">
        <fgColor rgb="FFFFEB9C"/>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25" fillId="19" borderId="0" applyNumberFormat="0" applyBorder="0" applyAlignment="0" applyProtection="0">
      <alignment vertical="center"/>
    </xf>
    <xf numFmtId="0" fontId="24" fillId="45" borderId="0" applyNumberFormat="0" applyBorder="0" applyAlignment="0" applyProtection="0">
      <alignment vertical="center"/>
    </xf>
    <xf numFmtId="0" fontId="25" fillId="43" borderId="0" applyNumberFormat="0" applyBorder="0" applyAlignment="0" applyProtection="0">
      <alignment vertical="center"/>
    </xf>
    <xf numFmtId="0" fontId="37" fillId="42" borderId="22" applyNumberFormat="0" applyAlignment="0" applyProtection="0">
      <alignment vertical="center"/>
    </xf>
    <xf numFmtId="0" fontId="24" fillId="26" borderId="0" applyNumberFormat="0" applyBorder="0" applyAlignment="0" applyProtection="0">
      <alignment vertical="center"/>
    </xf>
    <xf numFmtId="0" fontId="24" fillId="37" borderId="0" applyNumberFormat="0" applyBorder="0" applyAlignment="0" applyProtection="0">
      <alignment vertical="center"/>
    </xf>
    <xf numFmtId="44" fontId="0" fillId="0" borderId="0" applyFont="0" applyFill="0" applyBorder="0" applyAlignment="0" applyProtection="0">
      <alignment vertical="center"/>
    </xf>
    <xf numFmtId="0" fontId="25" fillId="35" borderId="0" applyNumberFormat="0" applyBorder="0" applyAlignment="0" applyProtection="0">
      <alignment vertical="center"/>
    </xf>
    <xf numFmtId="9" fontId="0" fillId="0" borderId="0" applyFont="0" applyFill="0" applyBorder="0" applyAlignment="0" applyProtection="0">
      <alignment vertical="center"/>
    </xf>
    <xf numFmtId="0" fontId="25" fillId="20" borderId="0" applyNumberFormat="0" applyBorder="0" applyAlignment="0" applyProtection="0">
      <alignment vertical="center"/>
    </xf>
    <xf numFmtId="0" fontId="25" fillId="41" borderId="0" applyNumberFormat="0" applyBorder="0" applyAlignment="0" applyProtection="0">
      <alignment vertical="center"/>
    </xf>
    <xf numFmtId="0" fontId="25" fillId="39" borderId="0" applyNumberFormat="0" applyBorder="0" applyAlignment="0" applyProtection="0">
      <alignment vertical="center"/>
    </xf>
    <xf numFmtId="0" fontId="25" fillId="36" borderId="0" applyNumberFormat="0" applyBorder="0" applyAlignment="0" applyProtection="0">
      <alignment vertical="center"/>
    </xf>
    <xf numFmtId="0" fontId="25" fillId="23" borderId="0" applyNumberFormat="0" applyBorder="0" applyAlignment="0" applyProtection="0">
      <alignment vertical="center"/>
    </xf>
    <xf numFmtId="0" fontId="36" fillId="31" borderId="22" applyNumberFormat="0" applyAlignment="0" applyProtection="0">
      <alignment vertical="center"/>
    </xf>
    <xf numFmtId="0" fontId="25" fillId="40" borderId="0" applyNumberFormat="0" applyBorder="0" applyAlignment="0" applyProtection="0">
      <alignment vertical="center"/>
    </xf>
    <xf numFmtId="0" fontId="41" fillId="47" borderId="0" applyNumberFormat="0" applyBorder="0" applyAlignment="0" applyProtection="0">
      <alignment vertical="center"/>
    </xf>
    <xf numFmtId="0" fontId="24" fillId="30" borderId="0" applyNumberFormat="0" applyBorder="0" applyAlignment="0" applyProtection="0">
      <alignment vertical="center"/>
    </xf>
    <xf numFmtId="0" fontId="34" fillId="34" borderId="0" applyNumberFormat="0" applyBorder="0" applyAlignment="0" applyProtection="0">
      <alignment vertical="center"/>
    </xf>
    <xf numFmtId="0" fontId="24" fillId="33" borderId="0" applyNumberFormat="0" applyBorder="0" applyAlignment="0" applyProtection="0">
      <alignment vertical="center"/>
    </xf>
    <xf numFmtId="0" fontId="28" fillId="0" borderId="18" applyNumberFormat="0" applyFill="0" applyAlignment="0" applyProtection="0">
      <alignment vertical="center"/>
    </xf>
    <xf numFmtId="0" fontId="39" fillId="44" borderId="0" applyNumberFormat="0" applyBorder="0" applyAlignment="0" applyProtection="0">
      <alignment vertical="center"/>
    </xf>
    <xf numFmtId="0" fontId="32" fillId="32" borderId="21" applyNumberFormat="0" applyAlignment="0" applyProtection="0">
      <alignment vertical="center"/>
    </xf>
    <xf numFmtId="0" fontId="31" fillId="31" borderId="20" applyNumberFormat="0" applyAlignment="0" applyProtection="0">
      <alignment vertical="center"/>
    </xf>
    <xf numFmtId="0" fontId="30" fillId="0" borderId="19" applyNumberFormat="0" applyFill="0" applyAlignment="0" applyProtection="0">
      <alignment vertical="center"/>
    </xf>
    <xf numFmtId="0" fontId="40" fillId="0" borderId="0" applyNumberFormat="0" applyFill="0" applyBorder="0" applyAlignment="0" applyProtection="0">
      <alignment vertical="center"/>
    </xf>
    <xf numFmtId="0" fontId="24" fillId="29" borderId="0" applyNumberFormat="0" applyBorder="0" applyAlignment="0" applyProtection="0">
      <alignment vertical="center"/>
    </xf>
    <xf numFmtId="0" fontId="27" fillId="0" borderId="0" applyNumberFormat="0" applyFill="0" applyBorder="0" applyAlignment="0" applyProtection="0">
      <alignment vertical="center"/>
    </xf>
    <xf numFmtId="42" fontId="0" fillId="0" borderId="0" applyFont="0" applyFill="0" applyBorder="0" applyAlignment="0" applyProtection="0">
      <alignment vertical="center"/>
    </xf>
    <xf numFmtId="0" fontId="24" fillId="27" borderId="0" applyNumberFormat="0" applyBorder="0" applyAlignment="0" applyProtection="0">
      <alignment vertical="center"/>
    </xf>
    <xf numFmtId="43"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4" fillId="28" borderId="0" applyNumberFormat="0" applyBorder="0" applyAlignment="0" applyProtection="0">
      <alignment vertical="center"/>
    </xf>
    <xf numFmtId="0" fontId="38" fillId="0" borderId="0" applyNumberFormat="0" applyFill="0" applyBorder="0" applyAlignment="0" applyProtection="0">
      <alignment vertical="center"/>
    </xf>
    <xf numFmtId="0" fontId="25" fillId="25" borderId="0" applyNumberFormat="0" applyBorder="0" applyAlignment="0" applyProtection="0">
      <alignment vertical="center"/>
    </xf>
    <xf numFmtId="0" fontId="0" fillId="46" borderId="23" applyNumberFormat="0" applyFont="0" applyAlignment="0" applyProtection="0">
      <alignment vertical="center"/>
    </xf>
    <xf numFmtId="0" fontId="24" fillId="24" borderId="0" applyNumberFormat="0" applyBorder="0" applyAlignment="0" applyProtection="0">
      <alignment vertical="center"/>
    </xf>
    <xf numFmtId="0" fontId="25" fillId="22" borderId="0" applyNumberFormat="0" applyBorder="0" applyAlignment="0" applyProtection="0">
      <alignment vertical="center"/>
    </xf>
    <xf numFmtId="0" fontId="24" fillId="21" borderId="0" applyNumberFormat="0" applyBorder="0" applyAlignment="0" applyProtection="0">
      <alignment vertical="center"/>
    </xf>
    <xf numFmtId="0" fontId="26" fillId="0" borderId="0" applyNumberFormat="0" applyFill="0" applyBorder="0" applyAlignment="0" applyProtection="0">
      <alignment vertical="center"/>
    </xf>
    <xf numFmtId="41" fontId="0" fillId="0" borderId="0" applyFont="0" applyFill="0" applyBorder="0" applyAlignment="0" applyProtection="0">
      <alignment vertical="center"/>
    </xf>
    <xf numFmtId="0" fontId="33" fillId="0" borderId="19" applyNumberFormat="0" applyFill="0" applyAlignment="0" applyProtection="0">
      <alignment vertical="center"/>
    </xf>
    <xf numFmtId="0" fontId="24" fillId="38" borderId="0" applyNumberFormat="0" applyBorder="0" applyAlignment="0" applyProtection="0">
      <alignment vertical="center"/>
    </xf>
    <xf numFmtId="0" fontId="27" fillId="0" borderId="17" applyNumberFormat="0" applyFill="0" applyAlignment="0" applyProtection="0">
      <alignment vertical="center"/>
    </xf>
    <xf numFmtId="0" fontId="25" fillId="18" borderId="0" applyNumberFormat="0" applyBorder="0" applyAlignment="0" applyProtection="0">
      <alignment vertical="center"/>
    </xf>
    <xf numFmtId="0" fontId="24" fillId="17" borderId="0" applyNumberFormat="0" applyBorder="0" applyAlignment="0" applyProtection="0">
      <alignment vertical="center"/>
    </xf>
    <xf numFmtId="0" fontId="23" fillId="0" borderId="16" applyNumberFormat="0" applyFill="0" applyAlignment="0" applyProtection="0">
      <alignment vertical="center"/>
    </xf>
  </cellStyleXfs>
  <cellXfs count="238">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2" fillId="2" borderId="1" xfId="0" applyFont="1" applyFill="1" applyBorder="1">
      <alignment vertical="center"/>
    </xf>
    <xf numFmtId="0" fontId="3" fillId="0" borderId="1" xfId="0" applyFont="1" applyBorder="1" applyAlignment="1">
      <alignment horizontal="center" vertical="center" wrapText="1"/>
    </xf>
    <xf numFmtId="14" fontId="1" fillId="0" borderId="1" xfId="0" applyNumberFormat="1" applyFont="1" applyBorder="1">
      <alignment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1" xfId="0" applyFont="1" applyBorder="1">
      <alignment vertical="center"/>
    </xf>
    <xf numFmtId="0" fontId="1" fillId="0" borderId="1" xfId="0" applyFont="1" applyBorder="1">
      <alignment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4" fillId="0" borderId="2" xfId="0" applyFont="1" applyBorder="1" applyAlignment="1">
      <alignment horizontal="center" vertical="center"/>
    </xf>
    <xf numFmtId="0" fontId="3" fillId="0" borderId="2" xfId="0" applyFont="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4" xfId="0" applyFont="1" applyBorder="1" applyAlignment="1">
      <alignment horizontal="center"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1" fillId="0" borderId="0" xfId="0" applyFont="1" applyAlignment="1">
      <alignment horizontal="center" vertical="center"/>
    </xf>
    <xf numFmtId="0" fontId="1" fillId="0" borderId="0" xfId="0" applyFont="1" applyFill="1">
      <alignment vertical="center"/>
    </xf>
    <xf numFmtId="0" fontId="1" fillId="0" borderId="0" xfId="0" applyFont="1">
      <alignment vertical="center"/>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0" borderId="1" xfId="0" applyNumberFormat="1" applyFont="1" applyFill="1" applyBorder="1" applyAlignment="1">
      <alignment vertical="center" wrapText="1"/>
    </xf>
    <xf numFmtId="0" fontId="4" fillId="0" borderId="1" xfId="0" applyNumberFormat="1" applyFont="1" applyFill="1" applyBorder="1" applyAlignment="1">
      <alignment horizontal="left" vertical="center" wrapText="1"/>
    </xf>
    <xf numFmtId="0" fontId="4" fillId="0" borderId="1" xfId="0" applyNumberFormat="1" applyFont="1" applyBorder="1">
      <alignment vertical="center"/>
    </xf>
    <xf numFmtId="0" fontId="4" fillId="0" borderId="1" xfId="0" applyNumberFormat="1" applyFont="1" applyBorder="1">
      <alignment vertical="center"/>
    </xf>
    <xf numFmtId="0" fontId="4" fillId="0" borderId="1" xfId="0" applyNumberFormat="1" applyFont="1" applyBorder="1" applyAlignment="1">
      <alignment horizontal="left" vertical="center" wrapText="1"/>
    </xf>
    <xf numFmtId="0" fontId="4" fillId="0" borderId="1" xfId="0" applyNumberFormat="1" applyFont="1" applyBorder="1">
      <alignment vertical="center"/>
    </xf>
    <xf numFmtId="0" fontId="4" fillId="0" borderId="1" xfId="0" applyNumberFormat="1" applyFont="1" applyBorder="1" applyAlignment="1">
      <alignment vertical="center" wrapText="1"/>
    </xf>
    <xf numFmtId="0" fontId="0" fillId="0" borderId="0" xfId="0" applyAlignment="1">
      <alignment vertical="center" wrapText="1"/>
    </xf>
    <xf numFmtId="0" fontId="6" fillId="0" borderId="2" xfId="0" applyNumberFormat="1" applyFont="1" applyFill="1" applyBorder="1" applyAlignment="1">
      <alignment vertical="center" wrapText="1"/>
    </xf>
    <xf numFmtId="0" fontId="4" fillId="0" borderId="1" xfId="0" applyNumberFormat="1" applyFont="1" applyFill="1" applyBorder="1" applyAlignment="1">
      <alignment horizontal="left" vertical="center" wrapText="1"/>
    </xf>
    <xf numFmtId="0" fontId="4" fillId="0" borderId="1" xfId="0" applyNumberFormat="1" applyFont="1" applyFill="1" applyBorder="1">
      <alignment vertical="center"/>
    </xf>
    <xf numFmtId="0" fontId="4" fillId="0" borderId="1" xfId="0" applyNumberFormat="1" applyFont="1" applyFill="1" applyBorder="1">
      <alignment vertical="center"/>
    </xf>
    <xf numFmtId="0" fontId="4" fillId="0" borderId="1" xfId="0" applyNumberFormat="1" applyFont="1" applyBorder="1" applyAlignment="1">
      <alignment vertical="center" wrapText="1"/>
    </xf>
    <xf numFmtId="0" fontId="4" fillId="0" borderId="1" xfId="0" applyNumberFormat="1" applyFont="1" applyBorder="1" applyAlignment="1">
      <alignment vertical="center" wrapText="1"/>
    </xf>
    <xf numFmtId="0" fontId="4" fillId="0" borderId="0" xfId="0" applyFont="1">
      <alignment vertical="center"/>
    </xf>
    <xf numFmtId="0" fontId="4" fillId="0" borderId="1" xfId="0" applyNumberFormat="1" applyFont="1" applyFill="1" applyBorder="1" applyAlignment="1">
      <alignment vertical="center" wrapText="1"/>
    </xf>
    <xf numFmtId="0" fontId="4" fillId="0" borderId="1" xfId="0" applyFont="1" applyFill="1" applyBorder="1">
      <alignment vertical="center"/>
    </xf>
    <xf numFmtId="0" fontId="7" fillId="4"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8" fillId="6" borderId="2" xfId="0" applyNumberFormat="1" applyFont="1" applyFill="1" applyBorder="1" applyAlignment="1">
      <alignment vertical="center" wrapText="1"/>
    </xf>
    <xf numFmtId="0" fontId="6" fillId="7" borderId="2" xfId="0" applyFont="1" applyFill="1" applyBorder="1" applyAlignment="1">
      <alignment vertical="center" wrapText="1"/>
    </xf>
    <xf numFmtId="0" fontId="1" fillId="0" borderId="7" xfId="0" applyFont="1" applyBorder="1">
      <alignment vertical="center"/>
    </xf>
    <xf numFmtId="0" fontId="9" fillId="6" borderId="2" xfId="0" applyNumberFormat="1" applyFont="1" applyFill="1" applyBorder="1" applyAlignment="1">
      <alignment vertical="center" wrapText="1"/>
    </xf>
    <xf numFmtId="0" fontId="7" fillId="7" borderId="2" xfId="0" applyFont="1" applyFill="1" applyBorder="1" applyAlignment="1">
      <alignment vertical="center" wrapText="1"/>
    </xf>
    <xf numFmtId="0" fontId="1" fillId="0" borderId="1" xfId="0" applyFont="1" applyFill="1" applyBorder="1">
      <alignment vertical="center"/>
    </xf>
    <xf numFmtId="0" fontId="7" fillId="5" borderId="7" xfId="0" applyFont="1" applyFill="1" applyBorder="1" applyAlignment="1">
      <alignment horizontal="center" vertical="center" wrapText="1"/>
    </xf>
    <xf numFmtId="0" fontId="10" fillId="0" borderId="0" xfId="0" applyFont="1">
      <alignment vertical="center"/>
    </xf>
    <xf numFmtId="0" fontId="8" fillId="8" borderId="1" xfId="0" applyFont="1" applyFill="1" applyBorder="1" applyAlignment="1">
      <alignment horizontal="center" vertical="center" wrapText="1"/>
    </xf>
    <xf numFmtId="0" fontId="4" fillId="0" borderId="1" xfId="0" applyNumberFormat="1" applyFont="1" applyFill="1" applyBorder="1" applyAlignment="1">
      <alignment vertical="center" wrapText="1"/>
    </xf>
    <xf numFmtId="0" fontId="0" fillId="0" borderId="1" xfId="0" applyBorder="1">
      <alignment vertical="center"/>
    </xf>
    <xf numFmtId="0" fontId="1" fillId="0" borderId="0" xfId="0" applyFont="1" applyFill="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NumberFormat="1" applyFont="1">
      <alignment vertical="center"/>
    </xf>
    <xf numFmtId="0" fontId="3" fillId="9" borderId="8" xfId="0" applyFont="1" applyFill="1" applyBorder="1" applyAlignment="1">
      <alignment horizontal="left" vertical="center"/>
    </xf>
    <xf numFmtId="0" fontId="3" fillId="9" borderId="1" xfId="0" applyFont="1" applyFill="1" applyBorder="1" applyAlignment="1">
      <alignment horizontal="left" vertical="center" wrapText="1"/>
    </xf>
    <xf numFmtId="0" fontId="3" fillId="9" borderId="0" xfId="0" applyFont="1" applyFill="1" applyAlignment="1">
      <alignment horizontal="left" vertical="center" wrapText="1"/>
    </xf>
    <xf numFmtId="0" fontId="11" fillId="0" borderId="1" xfId="41" applyNumberFormat="1" applyFont="1" applyFill="1" applyBorder="1" applyAlignment="1">
      <alignment vertical="center" wrapText="1"/>
    </xf>
    <xf numFmtId="0" fontId="4" fillId="0" borderId="2" xfId="0" applyNumberFormat="1" applyFont="1" applyFill="1" applyBorder="1" applyAlignment="1">
      <alignment horizontal="left" vertical="center" wrapText="1"/>
    </xf>
    <xf numFmtId="0" fontId="11" fillId="0" borderId="1" xfId="41"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0" fontId="11" fillId="0" borderId="1" xfId="41"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left" vertical="center" wrapText="1"/>
    </xf>
    <xf numFmtId="0" fontId="4" fillId="0" borderId="2" xfId="0" applyFont="1" applyBorder="1" applyAlignment="1">
      <alignment horizontal="left" vertical="center"/>
    </xf>
    <xf numFmtId="0" fontId="4" fillId="0" borderId="4" xfId="0" applyFont="1" applyBorder="1" applyAlignment="1">
      <alignment horizontal="left" vertical="center"/>
    </xf>
    <xf numFmtId="0" fontId="4" fillId="0" borderId="1" xfId="0" applyNumberFormat="1" applyFont="1" applyFill="1" applyBorder="1">
      <alignment vertical="center"/>
    </xf>
    <xf numFmtId="0" fontId="12" fillId="0" borderId="1" xfId="41" applyNumberFormat="1" applyFont="1" applyFill="1" applyBorder="1" applyAlignment="1">
      <alignment horizontal="left" vertical="center" wrapText="1"/>
    </xf>
    <xf numFmtId="0" fontId="4" fillId="0" borderId="2" xfId="0" applyNumberFormat="1" applyFont="1" applyFill="1" applyBorder="1" applyAlignment="1">
      <alignment horizontal="left" vertical="center"/>
    </xf>
    <xf numFmtId="0" fontId="4" fillId="0" borderId="2" xfId="0" applyFont="1" applyFill="1" applyBorder="1" applyAlignment="1">
      <alignment horizontal="left" vertical="center"/>
    </xf>
    <xf numFmtId="0" fontId="4" fillId="0" borderId="3" xfId="0" applyNumberFormat="1" applyFont="1" applyFill="1" applyBorder="1" applyAlignment="1">
      <alignment horizontal="left" vertical="center"/>
    </xf>
    <xf numFmtId="0" fontId="4" fillId="0" borderId="3" xfId="0" applyFont="1" applyBorder="1" applyAlignment="1">
      <alignment horizontal="left" vertical="center"/>
    </xf>
    <xf numFmtId="0" fontId="4" fillId="0" borderId="2" xfId="0" applyNumberFormat="1" applyFont="1" applyBorder="1" applyAlignment="1">
      <alignment horizontal="left" vertical="center" wrapText="1"/>
    </xf>
    <xf numFmtId="0" fontId="4" fillId="0" borderId="1" xfId="0" applyFont="1" applyFill="1" applyBorder="1" applyProtection="1">
      <alignment vertical="center"/>
      <protection locked="0"/>
    </xf>
    <xf numFmtId="0" fontId="13" fillId="0" borderId="1" xfId="41" applyNumberFormat="1" applyFont="1" applyBorder="1" applyAlignment="1">
      <alignment vertical="center" wrapText="1"/>
    </xf>
    <xf numFmtId="0" fontId="14" fillId="0" borderId="0" xfId="41" applyFont="1" applyAlignment="1">
      <alignment horizontal="center" vertical="center" wrapText="1"/>
    </xf>
    <xf numFmtId="0" fontId="4" fillId="0" borderId="3" xfId="0" applyNumberFormat="1" applyFont="1" applyBorder="1" applyAlignment="1">
      <alignment horizontal="left" vertical="center" wrapText="1"/>
    </xf>
    <xf numFmtId="0" fontId="13" fillId="0" borderId="1" xfId="41" applyFont="1" applyBorder="1">
      <alignment vertical="center"/>
    </xf>
    <xf numFmtId="0" fontId="13" fillId="0" borderId="1" xfId="41" applyFont="1" applyBorder="1" applyAlignment="1">
      <alignment horizontal="left" vertical="center"/>
    </xf>
    <xf numFmtId="0" fontId="13" fillId="0" borderId="1" xfId="41" applyNumberFormat="1" applyFont="1" applyBorder="1" applyAlignment="1">
      <alignment horizontal="left" vertical="center" wrapText="1"/>
    </xf>
    <xf numFmtId="0" fontId="3" fillId="9" borderId="8" xfId="0" applyFont="1" applyFill="1" applyBorder="1" applyAlignment="1">
      <alignment horizontal="center" vertical="center"/>
    </xf>
    <xf numFmtId="0" fontId="3" fillId="9" borderId="0" xfId="0" applyFont="1" applyFill="1" applyAlignment="1">
      <alignment horizontal="center" vertical="center" wrapText="1"/>
    </xf>
    <xf numFmtId="0" fontId="4" fillId="0" borderId="1" xfId="0" applyNumberFormat="1" applyFont="1" applyBorder="1" applyAlignment="1">
      <alignment horizontal="center" vertical="center" wrapText="1"/>
    </xf>
    <xf numFmtId="0" fontId="4" fillId="0" borderId="2" xfId="0" applyNumberFormat="1" applyFont="1" applyBorder="1" applyAlignment="1">
      <alignment horizontal="center" vertical="center" wrapText="1"/>
    </xf>
    <xf numFmtId="0" fontId="4" fillId="0" borderId="4" xfId="0" applyNumberFormat="1" applyFont="1" applyFill="1" applyBorder="1" applyAlignment="1">
      <alignment horizontal="center" vertical="center" wrapText="1"/>
    </xf>
    <xf numFmtId="0" fontId="4" fillId="0" borderId="4" xfId="0" applyNumberFormat="1" applyFont="1" applyBorder="1" applyAlignment="1">
      <alignment horizontal="center" vertical="center" wrapText="1"/>
    </xf>
    <xf numFmtId="0" fontId="4" fillId="0" borderId="4"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9" xfId="0" applyNumberFormat="1" applyFont="1" applyFill="1" applyBorder="1" applyAlignment="1">
      <alignment horizontal="left" vertical="center" wrapText="1"/>
    </xf>
    <xf numFmtId="0" fontId="4" fillId="0" borderId="10" xfId="0" applyNumberFormat="1" applyFont="1" applyFill="1" applyBorder="1" applyAlignment="1">
      <alignment horizontal="left" vertical="center" wrapText="1"/>
    </xf>
    <xf numFmtId="0" fontId="4" fillId="0" borderId="7" xfId="0" applyNumberFormat="1" applyFont="1" applyBorder="1" applyAlignment="1">
      <alignment horizontal="left" vertical="center" wrapText="1"/>
    </xf>
    <xf numFmtId="0" fontId="4" fillId="0" borderId="1" xfId="0" applyFont="1" applyFill="1" applyBorder="1">
      <alignment vertical="center"/>
    </xf>
    <xf numFmtId="0" fontId="4" fillId="0" borderId="3" xfId="0" applyNumberFormat="1" applyFont="1" applyBorder="1" applyAlignment="1">
      <alignment horizontal="center" vertical="center" wrapText="1"/>
    </xf>
    <xf numFmtId="0" fontId="4" fillId="0" borderId="7" xfId="0" applyNumberFormat="1" applyFont="1" applyFill="1" applyBorder="1" applyAlignment="1">
      <alignment horizontal="left" vertical="center" wrapText="1"/>
    </xf>
    <xf numFmtId="0" fontId="4" fillId="0" borderId="9" xfId="0" applyNumberFormat="1" applyFont="1" applyFill="1" applyBorder="1" applyAlignment="1">
      <alignment horizontal="center" vertical="center" wrapText="1"/>
    </xf>
    <xf numFmtId="0" fontId="4" fillId="0" borderId="11" xfId="0" applyNumberFormat="1" applyFont="1" applyFill="1" applyBorder="1" applyAlignment="1">
      <alignment horizontal="center" vertical="center" wrapText="1"/>
    </xf>
    <xf numFmtId="0" fontId="3" fillId="10" borderId="12" xfId="0" applyFont="1" applyFill="1" applyBorder="1" applyAlignment="1">
      <alignment horizontal="left" vertical="center" wrapText="1"/>
    </xf>
    <xf numFmtId="0" fontId="5" fillId="10" borderId="13" xfId="0" applyFont="1" applyFill="1" applyBorder="1" applyAlignment="1">
      <alignment horizontal="left" vertical="center"/>
    </xf>
    <xf numFmtId="0" fontId="5" fillId="10" borderId="13" xfId="0" applyFont="1" applyFill="1" applyBorder="1" applyAlignment="1">
      <alignment horizontal="center" vertical="center" wrapText="1"/>
    </xf>
    <xf numFmtId="0" fontId="3" fillId="10" borderId="7" xfId="0" applyNumberFormat="1" applyFont="1" applyFill="1" applyBorder="1" applyAlignment="1">
      <alignment horizontal="left" vertical="center" wrapText="1"/>
    </xf>
    <xf numFmtId="0" fontId="3" fillId="10" borderId="1" xfId="0" applyFont="1" applyFill="1" applyBorder="1" applyAlignment="1">
      <alignment horizontal="left" vertical="center"/>
    </xf>
    <xf numFmtId="0" fontId="3" fillId="10" borderId="1"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left" vertical="center"/>
    </xf>
    <xf numFmtId="0" fontId="4" fillId="0" borderId="1" xfId="0" applyFont="1" applyBorder="1" applyAlignment="1">
      <alignment horizontal="left" vertical="center"/>
    </xf>
    <xf numFmtId="0" fontId="1" fillId="0" borderId="1" xfId="0" applyNumberFormat="1" applyFont="1" applyBorder="1">
      <alignment vertical="center"/>
    </xf>
    <xf numFmtId="0" fontId="1" fillId="0" borderId="1" xfId="0" applyFont="1" applyBorder="1" applyAlignment="1">
      <alignment horizontal="left" vertical="center" wrapText="1"/>
    </xf>
    <xf numFmtId="0" fontId="1" fillId="0" borderId="2" xfId="0" applyNumberFormat="1" applyFont="1" applyBorder="1">
      <alignment vertical="center"/>
    </xf>
    <xf numFmtId="0" fontId="1" fillId="0" borderId="1" xfId="0" applyFont="1" applyFill="1" applyBorder="1" applyAlignment="1">
      <alignment vertical="center" wrapText="1"/>
    </xf>
    <xf numFmtId="0" fontId="1" fillId="0" borderId="1" xfId="0" applyNumberFormat="1" applyFont="1" applyBorder="1" applyAlignment="1">
      <alignment vertical="center" wrapText="1"/>
    </xf>
    <xf numFmtId="0" fontId="1" fillId="0" borderId="1" xfId="0" applyNumberFormat="1" applyFont="1" applyBorder="1" applyAlignment="1">
      <alignment horizontal="left" vertical="center" wrapText="1"/>
    </xf>
    <xf numFmtId="0" fontId="1" fillId="0" borderId="2" xfId="0" applyNumberFormat="1" applyFont="1" applyBorder="1" applyAlignment="1">
      <alignment horizontal="left" vertical="center" wrapText="1"/>
    </xf>
    <xf numFmtId="0" fontId="1" fillId="0" borderId="2" xfId="0" applyNumberFormat="1" applyFont="1" applyBorder="1" applyAlignment="1">
      <alignment horizontal="center" vertical="center" wrapText="1"/>
    </xf>
    <xf numFmtId="0" fontId="1" fillId="0" borderId="2" xfId="0" applyNumberFormat="1" applyFont="1" applyBorder="1" applyAlignment="1">
      <alignment vertical="center" wrapText="1"/>
    </xf>
    <xf numFmtId="0" fontId="5" fillId="10" borderId="13" xfId="0" applyFont="1" applyFill="1" applyBorder="1" applyAlignment="1">
      <alignment horizontal="center" vertical="center"/>
    </xf>
    <xf numFmtId="0" fontId="3" fillId="10" borderId="7" xfId="0" applyNumberFormat="1" applyFont="1" applyFill="1" applyBorder="1">
      <alignment vertical="center"/>
    </xf>
    <xf numFmtId="0" fontId="3" fillId="10" borderId="1" xfId="0" applyFont="1" applyFill="1" applyBorder="1" applyAlignment="1">
      <alignment horizontal="center" vertical="center" wrapText="1"/>
    </xf>
    <xf numFmtId="0" fontId="4" fillId="0" borderId="1" xfId="0" applyNumberFormat="1" applyFont="1" applyFill="1" applyBorder="1" applyAlignment="1" applyProtection="1">
      <alignment vertical="center" wrapText="1"/>
    </xf>
    <xf numFmtId="0" fontId="4" fillId="0" borderId="1" xfId="0" applyFont="1" applyFill="1" applyBorder="1" applyAlignment="1">
      <alignment vertical="center" wrapText="1"/>
    </xf>
    <xf numFmtId="0" fontId="4" fillId="0" borderId="2" xfId="0" applyNumberFormat="1" applyFont="1" applyBorder="1" applyAlignment="1">
      <alignment vertical="center" wrapText="1"/>
    </xf>
    <xf numFmtId="0" fontId="13" fillId="0" borderId="1" xfId="41" applyFont="1" applyBorder="1" applyAlignment="1">
      <alignment vertical="center" wrapText="1"/>
    </xf>
    <xf numFmtId="0" fontId="3" fillId="10" borderId="1" xfId="0" applyFont="1" applyFill="1" applyBorder="1">
      <alignment vertical="center"/>
    </xf>
    <xf numFmtId="0" fontId="3" fillId="10" borderId="1" xfId="0" applyNumberFormat="1" applyFont="1" applyFill="1" applyBorder="1">
      <alignment vertical="center"/>
    </xf>
    <xf numFmtId="0" fontId="13" fillId="0" borderId="1" xfId="41" applyFont="1" applyBorder="1" applyAlignment="1">
      <alignment horizontal="left" vertical="center" wrapText="1"/>
    </xf>
    <xf numFmtId="0" fontId="15" fillId="0" borderId="2" xfId="0" applyFont="1" applyBorder="1" applyAlignment="1">
      <alignment horizontal="center" vertical="center"/>
    </xf>
    <xf numFmtId="0" fontId="4" fillId="0" borderId="1" xfId="0" applyNumberFormat="1" applyFont="1" applyBorder="1" applyAlignment="1">
      <alignment horizontal="left" vertical="center"/>
    </xf>
    <xf numFmtId="0" fontId="15" fillId="0" borderId="3" xfId="0" applyFont="1" applyBorder="1" applyAlignment="1">
      <alignment horizontal="center" vertical="center"/>
    </xf>
    <xf numFmtId="0" fontId="1" fillId="0" borderId="3" xfId="0" applyFont="1" applyBorder="1" applyAlignment="1">
      <alignment horizontal="left" vertical="center"/>
    </xf>
    <xf numFmtId="0" fontId="15" fillId="0" borderId="4" xfId="0" applyFont="1" applyBorder="1" applyAlignment="1">
      <alignment horizontal="center" vertical="center"/>
    </xf>
    <xf numFmtId="0" fontId="13" fillId="0" borderId="1" xfId="41" applyFont="1" applyBorder="1" applyAlignment="1">
      <alignment horizontal="center" vertical="center" wrapText="1"/>
    </xf>
    <xf numFmtId="0" fontId="13" fillId="0" borderId="1" xfId="41" applyFont="1" applyFill="1" applyBorder="1" applyAlignment="1">
      <alignment vertical="center" wrapText="1"/>
    </xf>
    <xf numFmtId="0" fontId="13" fillId="11" borderId="1" xfId="41" applyFont="1" applyFill="1" applyBorder="1" applyAlignment="1">
      <alignment vertical="center" wrapText="1"/>
    </xf>
    <xf numFmtId="0" fontId="15" fillId="0" borderId="1" xfId="0" applyFont="1" applyBorder="1" applyAlignment="1">
      <alignment horizontal="center" vertical="center"/>
    </xf>
    <xf numFmtId="0" fontId="14" fillId="0" borderId="0" xfId="41" applyFont="1" applyAlignment="1">
      <alignment vertical="center" wrapText="1"/>
    </xf>
    <xf numFmtId="0" fontId="14" fillId="0" borderId="1" xfId="41" applyFont="1" applyBorder="1" applyAlignment="1">
      <alignment vertical="center" wrapText="1"/>
    </xf>
    <xf numFmtId="0" fontId="5" fillId="10" borderId="14" xfId="0" applyFont="1" applyFill="1" applyBorder="1" applyAlignment="1">
      <alignment horizontal="left" vertical="center"/>
    </xf>
    <xf numFmtId="0" fontId="3" fillId="3" borderId="15"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10" borderId="5" xfId="0" applyFont="1" applyFill="1" applyBorder="1" applyAlignment="1">
      <alignment horizontal="left" vertical="center"/>
    </xf>
    <xf numFmtId="0" fontId="3" fillId="3" borderId="1" xfId="0" applyFont="1" applyFill="1" applyBorder="1">
      <alignment vertical="center"/>
    </xf>
    <xf numFmtId="58" fontId="16" fillId="0" borderId="1" xfId="0" applyNumberFormat="1" applyFont="1" applyBorder="1">
      <alignment vertical="center"/>
    </xf>
    <xf numFmtId="0" fontId="16" fillId="0" borderId="1" xfId="0" applyFont="1" applyBorder="1">
      <alignment vertical="center"/>
    </xf>
    <xf numFmtId="0" fontId="16" fillId="0" borderId="0" xfId="0" applyFont="1">
      <alignment vertical="center"/>
    </xf>
    <xf numFmtId="0" fontId="1" fillId="0" borderId="1" xfId="0" applyFont="1" applyBorder="1" applyAlignment="1" applyProtection="1">
      <alignment horizontal="left" vertical="center"/>
      <protection locked="0"/>
    </xf>
    <xf numFmtId="0" fontId="1" fillId="0" borderId="1" xfId="0" applyFont="1" applyBorder="1" applyAlignment="1" applyProtection="1">
      <alignment horizontal="left" vertical="center" wrapText="1"/>
      <protection locked="0"/>
    </xf>
    <xf numFmtId="0" fontId="1" fillId="0" borderId="4" xfId="0" applyFont="1" applyBorder="1">
      <alignment vertical="center"/>
    </xf>
    <xf numFmtId="0" fontId="12" fillId="0" borderId="4" xfId="41" applyFont="1" applyBorder="1">
      <alignment vertical="center"/>
    </xf>
    <xf numFmtId="0" fontId="1" fillId="0" borderId="2" xfId="0" applyFont="1" applyBorder="1" applyAlignment="1">
      <alignment horizontal="left" vertical="center"/>
    </xf>
    <xf numFmtId="0" fontId="1" fillId="0" borderId="4" xfId="0" applyFont="1" applyBorder="1" applyAlignment="1">
      <alignment horizontal="left" vertical="center"/>
    </xf>
    <xf numFmtId="0" fontId="17" fillId="0" borderId="1" xfId="0" applyFont="1" applyBorder="1" applyAlignment="1">
      <alignment horizontal="left" vertical="center"/>
    </xf>
    <xf numFmtId="0" fontId="17" fillId="0" borderId="1" xfId="0" applyFont="1" applyBorder="1">
      <alignment vertical="center"/>
    </xf>
    <xf numFmtId="0" fontId="18" fillId="0" borderId="1" xfId="0" applyFont="1" applyBorder="1">
      <alignment vertical="center"/>
    </xf>
    <xf numFmtId="0" fontId="18" fillId="0" borderId="2" xfId="0" applyFont="1" applyBorder="1" applyAlignment="1">
      <alignment horizontal="left" vertical="center" wrapText="1"/>
    </xf>
    <xf numFmtId="0" fontId="12" fillId="0" borderId="1" xfId="41" applyFont="1" applyBorder="1">
      <alignment vertical="center"/>
    </xf>
    <xf numFmtId="0" fontId="4" fillId="0" borderId="2" xfId="0" applyFont="1" applyBorder="1">
      <alignment vertical="center"/>
    </xf>
    <xf numFmtId="0" fontId="12" fillId="0" borderId="2" xfId="41" applyFont="1" applyBorder="1">
      <alignment vertical="center"/>
    </xf>
    <xf numFmtId="0" fontId="1" fillId="0" borderId="1" xfId="0" applyFont="1" applyBorder="1" applyAlignment="1" applyProtection="1">
      <alignment horizontal="center" vertical="center" wrapText="1"/>
      <protection locked="0"/>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7" fillId="0" borderId="1" xfId="0" applyFont="1" applyBorder="1" applyAlignment="1">
      <alignment horizontal="center" vertical="center"/>
    </xf>
    <xf numFmtId="0" fontId="18" fillId="0" borderId="1" xfId="0" applyFont="1" applyBorder="1" applyAlignment="1">
      <alignment horizontal="left" vertical="center"/>
    </xf>
    <xf numFmtId="0" fontId="4" fillId="12" borderId="1" xfId="0" applyNumberFormat="1"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4" xfId="0" applyNumberFormat="1" applyFont="1" applyBorder="1" applyAlignment="1">
      <alignment vertical="center" wrapText="1"/>
    </xf>
    <xf numFmtId="0" fontId="4" fillId="0" borderId="4" xfId="0" applyNumberFormat="1" applyFont="1" applyBorder="1" applyAlignment="1">
      <alignment vertical="center" wrapText="1"/>
    </xf>
    <xf numFmtId="0" fontId="17" fillId="0" borderId="2" xfId="0" applyNumberFormat="1" applyFont="1" applyBorder="1">
      <alignment vertical="center"/>
    </xf>
    <xf numFmtId="0" fontId="1" fillId="0" borderId="2" xfId="0" applyFont="1" applyBorder="1">
      <alignment vertical="center"/>
    </xf>
    <xf numFmtId="0" fontId="4" fillId="0" borderId="4" xfId="0" applyNumberFormat="1" applyFont="1" applyBorder="1" applyAlignment="1">
      <alignment horizontal="left" vertical="center" wrapText="1"/>
    </xf>
    <xf numFmtId="0" fontId="4" fillId="0" borderId="0" xfId="0" applyFont="1" applyAlignment="1">
      <alignment vertical="center" wrapText="1"/>
    </xf>
    <xf numFmtId="0" fontId="4" fillId="12" borderId="1" xfId="0" applyNumberFormat="1" applyFont="1" applyFill="1" applyBorder="1" applyAlignment="1">
      <alignment vertical="center" wrapText="1"/>
    </xf>
    <xf numFmtId="0" fontId="18" fillId="12" borderId="1" xfId="0" applyNumberFormat="1" applyFont="1" applyFill="1" applyBorder="1" applyAlignment="1">
      <alignment vertical="center" wrapText="1"/>
    </xf>
    <xf numFmtId="0" fontId="18" fillId="0" borderId="1" xfId="0" applyNumberFormat="1" applyFont="1" applyFill="1" applyBorder="1" applyAlignment="1">
      <alignment vertical="center" wrapText="1"/>
    </xf>
    <xf numFmtId="0" fontId="18" fillId="0" borderId="1" xfId="0" applyFont="1" applyBorder="1" applyAlignment="1">
      <alignment vertical="center" wrapText="1"/>
    </xf>
    <xf numFmtId="0" fontId="4" fillId="0" borderId="2" xfId="0" applyFont="1" applyBorder="1" applyAlignment="1">
      <alignment vertical="center" wrapText="1"/>
    </xf>
    <xf numFmtId="0" fontId="13" fillId="0" borderId="0" xfId="41" applyFont="1" applyAlignment="1">
      <alignment vertical="center" wrapText="1"/>
    </xf>
    <xf numFmtId="0" fontId="19" fillId="0" borderId="1" xfId="41" applyFont="1" applyBorder="1" applyAlignment="1">
      <alignment vertical="center" wrapText="1"/>
    </xf>
    <xf numFmtId="0" fontId="18" fillId="0" borderId="1" xfId="0" applyNumberFormat="1" applyFont="1" applyBorder="1">
      <alignment vertical="center"/>
    </xf>
    <xf numFmtId="0" fontId="20" fillId="0" borderId="1" xfId="41" applyFont="1" applyBorder="1" applyAlignment="1">
      <alignment vertical="center" wrapText="1"/>
    </xf>
    <xf numFmtId="0" fontId="13" fillId="0" borderId="2" xfId="41" applyFont="1" applyBorder="1" applyAlignment="1">
      <alignment vertical="center" wrapText="1"/>
    </xf>
    <xf numFmtId="0" fontId="4" fillId="0" borderId="2" xfId="0" applyNumberFormat="1" applyFont="1" applyBorder="1" applyAlignment="1">
      <alignment horizontal="left" vertical="center"/>
    </xf>
    <xf numFmtId="0" fontId="4" fillId="0" borderId="2" xfId="0" applyNumberFormat="1" applyFont="1" applyBorder="1">
      <alignment vertical="center"/>
    </xf>
    <xf numFmtId="0" fontId="1" fillId="0" borderId="2" xfId="0" applyFont="1" applyBorder="1" applyAlignment="1">
      <alignment vertical="center" wrapText="1"/>
    </xf>
    <xf numFmtId="0" fontId="4" fillId="0" borderId="7" xfId="0" applyFont="1" applyBorder="1">
      <alignment vertical="center"/>
    </xf>
    <xf numFmtId="0" fontId="16" fillId="0" borderId="2" xfId="0" applyFont="1" applyBorder="1">
      <alignment vertical="center"/>
    </xf>
    <xf numFmtId="0" fontId="0" fillId="0" borderId="0" xfId="0" applyFont="1">
      <alignment vertical="center"/>
    </xf>
    <xf numFmtId="0" fontId="1" fillId="13" borderId="0" xfId="0" applyFont="1" applyFill="1">
      <alignment vertical="center"/>
    </xf>
    <xf numFmtId="0" fontId="3" fillId="14" borderId="4" xfId="0" applyNumberFormat="1" applyFont="1" applyFill="1" applyBorder="1" applyAlignment="1">
      <alignment vertical="center" wrapText="1"/>
    </xf>
    <xf numFmtId="0" fontId="4" fillId="0" borderId="7" xfId="0" applyNumberFormat="1" applyFont="1" applyFill="1" applyBorder="1" applyAlignment="1">
      <alignment vertical="center" wrapText="1"/>
    </xf>
    <xf numFmtId="0" fontId="4" fillId="0" borderId="5" xfId="0" applyNumberFormat="1" applyFont="1" applyBorder="1" applyAlignment="1">
      <alignment vertical="center" wrapText="1"/>
    </xf>
    <xf numFmtId="0" fontId="4" fillId="0" borderId="1" xfId="0" applyFont="1" applyBorder="1" applyProtection="1">
      <alignment vertical="center"/>
      <protection locked="0"/>
    </xf>
    <xf numFmtId="0" fontId="11" fillId="0" borderId="1" xfId="41" applyNumberFormat="1" applyFont="1" applyBorder="1" applyAlignment="1">
      <alignment vertical="center" wrapText="1"/>
    </xf>
    <xf numFmtId="0" fontId="21" fillId="0" borderId="1" xfId="41" applyNumberFormat="1" applyFont="1" applyFill="1" applyBorder="1" applyAlignment="1">
      <alignment vertical="center" wrapText="1"/>
    </xf>
    <xf numFmtId="0" fontId="1" fillId="0" borderId="1" xfId="0" applyFont="1" applyFill="1" applyBorder="1">
      <alignment vertical="center"/>
    </xf>
    <xf numFmtId="0" fontId="4" fillId="0" borderId="9" xfId="0" applyNumberFormat="1" applyFont="1" applyBorder="1" applyAlignment="1">
      <alignment horizontal="left" vertical="center" wrapText="1"/>
    </xf>
    <xf numFmtId="0" fontId="4" fillId="0" borderId="1" xfId="0" applyFont="1" applyFill="1" applyBorder="1" applyAlignment="1">
      <alignment horizontal="left" vertical="center"/>
    </xf>
    <xf numFmtId="0" fontId="1" fillId="0" borderId="0" xfId="0" applyFont="1" applyAlignment="1" applyProtection="1">
      <alignment horizontal="left" vertical="center"/>
      <protection locked="0"/>
    </xf>
    <xf numFmtId="0" fontId="3" fillId="14" borderId="4" xfId="0" applyNumberFormat="1" applyFont="1" applyFill="1" applyBorder="1" applyAlignment="1">
      <alignment horizontal="left" vertical="center" wrapText="1"/>
    </xf>
    <xf numFmtId="0" fontId="3" fillId="14" borderId="4" xfId="0" applyNumberFormat="1" applyFont="1" applyFill="1" applyBorder="1" applyAlignment="1">
      <alignment horizontal="center" vertical="center" wrapText="1"/>
    </xf>
    <xf numFmtId="0" fontId="22" fillId="0" borderId="7" xfId="0" applyNumberFormat="1" applyFont="1" applyBorder="1" applyAlignment="1">
      <alignment horizontal="left" vertical="center" wrapText="1"/>
    </xf>
    <xf numFmtId="0" fontId="22" fillId="0" borderId="1" xfId="0" applyNumberFormat="1" applyFont="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5" xfId="0" applyFont="1" applyBorder="1">
      <alignment vertical="center"/>
    </xf>
    <xf numFmtId="0" fontId="3" fillId="15" borderId="4" xfId="0" applyNumberFormat="1" applyFont="1" applyFill="1" applyBorder="1" applyAlignment="1">
      <alignment vertical="center" wrapText="1"/>
    </xf>
    <xf numFmtId="0" fontId="3" fillId="15" borderId="4" xfId="0" applyNumberFormat="1" applyFont="1" applyFill="1" applyBorder="1" applyAlignment="1">
      <alignment horizontal="center" vertical="center" wrapText="1"/>
    </xf>
    <xf numFmtId="0" fontId="4" fillId="16" borderId="1" xfId="0" applyNumberFormat="1" applyFont="1" applyFill="1" applyBorder="1" applyAlignment="1">
      <alignment horizontal="left" vertical="center" wrapText="1"/>
    </xf>
    <xf numFmtId="0" fontId="22" fillId="16" borderId="1" xfId="0" applyNumberFormat="1" applyFont="1" applyFill="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Fill="1" applyBorder="1" applyAlignment="1">
      <alignment vertical="center" wrapText="1"/>
    </xf>
    <xf numFmtId="0" fontId="3" fillId="15" borderId="1" xfId="0" applyNumberFormat="1" applyFont="1" applyFill="1" applyBorder="1" applyAlignment="1">
      <alignment horizontal="center" vertical="center" wrapText="1"/>
    </xf>
    <xf numFmtId="0" fontId="22" fillId="0" borderId="1" xfId="0" applyFont="1" applyBorder="1">
      <alignment vertical="center"/>
    </xf>
    <xf numFmtId="0" fontId="22" fillId="0" borderId="1" xfId="0" applyFont="1" applyBorder="1" applyAlignment="1">
      <alignment vertical="center" wrapText="1"/>
    </xf>
    <xf numFmtId="0" fontId="22" fillId="0" borderId="2" xfId="0" applyFont="1" applyBorder="1" applyAlignment="1">
      <alignment vertical="center" wrapText="1"/>
    </xf>
    <xf numFmtId="0" fontId="4" fillId="0" borderId="2" xfId="0" applyFont="1" applyFill="1" applyBorder="1" applyAlignment="1">
      <alignment horizontal="left" vertical="center" wrapText="1"/>
    </xf>
    <xf numFmtId="0" fontId="4" fillId="0" borderId="2" xfId="0" applyFont="1" applyFill="1" applyBorder="1">
      <alignment vertical="center"/>
    </xf>
    <xf numFmtId="0" fontId="4" fillId="0" borderId="1" xfId="0" applyNumberFormat="1" applyFont="1" applyBorder="1" applyAlignment="1">
      <alignment horizontal="left" vertical="top" wrapText="1"/>
    </xf>
    <xf numFmtId="0" fontId="15" fillId="13" borderId="0" xfId="0" applyFont="1" applyFill="1">
      <alignment vertical="center"/>
    </xf>
    <xf numFmtId="0" fontId="1" fillId="0" borderId="5" xfId="0" applyFont="1" applyBorder="1">
      <alignment vertical="center"/>
    </xf>
    <xf numFmtId="0" fontId="1" fillId="13" borderId="0" xfId="0" applyFont="1" applyFill="1" applyAlignment="1">
      <alignment horizontal="center" vertical="center"/>
    </xf>
    <xf numFmtId="0" fontId="1" fillId="13" borderId="0" xfId="0" applyFont="1" applyFill="1" applyAlignment="1">
      <alignment horizontal="left" vertical="center"/>
    </xf>
    <xf numFmtId="0" fontId="1" fillId="13" borderId="0" xfId="0" applyFont="1" applyFill="1" applyAlignment="1">
      <alignmen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3">
    <open main="94" threadCnt="1"/>
    <sheetInfos>
      <sheetInfo cellCmpFml="0" sheetStid="1">
        <open main="3" threadCnt="1"/>
      </sheetInfo>
      <sheetInfo cellCmpFml="0" sheetStid="3">
        <open main="3" threadCnt="1"/>
      </sheetInfo>
      <sheetInfo cellCmpFml="0" sheetStid="4">
        <open threadCnt="1"/>
      </sheetInfo>
      <sheetInfo cellCmpFml="3" sheetStid="6">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www.wps.cn/officeDocument/2023/relationships/woinfos" Target="woinfos.xml"/><Relationship Id="rId13" Type="http://schemas.openxmlformats.org/officeDocument/2006/relationships/styles" Target="styles.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jira.htzq.htsc.com.cn/browse/FICCHEADS-812" TargetMode="External"/><Relationship Id="rId8" Type="http://schemas.openxmlformats.org/officeDocument/2006/relationships/hyperlink" Target="http://jira.htzq.htsc.com.cn/browse/FICCHEADS-1127" TargetMode="External"/><Relationship Id="rId7" Type="http://schemas.openxmlformats.org/officeDocument/2006/relationships/hyperlink" Target="http://jira.htzq.htsc.com.cn/browse/FICCHEADS-873" TargetMode="External"/><Relationship Id="rId6" Type="http://schemas.openxmlformats.org/officeDocument/2006/relationships/hyperlink" Target="http://jira.htzq.htsc.com.cn/browse/FICCHEADS-1124" TargetMode="External"/><Relationship Id="rId5" Type="http://schemas.openxmlformats.org/officeDocument/2006/relationships/hyperlink" Target="http://jira.htzq.htsc.com.cn/browse/FICCHEADS-1099" TargetMode="External"/><Relationship Id="rId4" Type="http://schemas.openxmlformats.org/officeDocument/2006/relationships/hyperlink" Target="http://jira.htzq.htsc.com.cn/browse/FICCHEADS-1136" TargetMode="External"/><Relationship Id="rId3" Type="http://schemas.openxmlformats.org/officeDocument/2006/relationships/hyperlink" Target="http://jira.htzq.htsc.com.cn/browse/FICCHEADS-1097" TargetMode="External"/><Relationship Id="rId26" Type="http://schemas.openxmlformats.org/officeDocument/2006/relationships/hyperlink" Target="http://jira.htzq.htsc.com.cn/browse/FICCHEADS-1197" TargetMode="External"/><Relationship Id="rId25" Type="http://schemas.openxmlformats.org/officeDocument/2006/relationships/hyperlink" Target="http://jira.htzq.htsc.com.cn/browse/FICCHEADS-1168" TargetMode="External"/><Relationship Id="rId24" Type="http://schemas.openxmlformats.org/officeDocument/2006/relationships/hyperlink" Target="http://eip.htsc.com.cn/htoa/spa/workflow/static4form/index.html?_rdm=1766557045845" TargetMode="External"/><Relationship Id="rId23" Type="http://schemas.openxmlformats.org/officeDocument/2006/relationships/hyperlink" Target="http://eip.htsc.com.cn/htoa/spa/workflow/static4form/index.html?_rdm=1768790739845#/main/workflow/req?requestid=7411633&amp;_workflowid=12522&amp;f_weaver_belongto_userid=70216&amp;isovertime=0&amp;preloadkey=1768790714101&amp;timestamp=1768790714101&amp;_key=7na5qv" TargetMode="External"/><Relationship Id="rId22" Type="http://schemas.openxmlformats.org/officeDocument/2006/relationships/hyperlink" Target="http://eip.htsc.com.cn/htoa/spa/workflow/static4form/index.html?_rdm=1766545873966#/main/workflow/req?requestid=7188583&amp;_workflowid=12522&amp;f_weaver_belongto_userid=43671&amp;isovertime=0&amp;preloadkey=1766545820215&amp;timestamp=1766545820215&amp;_key=bwwpg8" TargetMode="External"/><Relationship Id="rId21" Type="http://schemas.openxmlformats.org/officeDocument/2006/relationships/hyperlink" Target="http://jira.htzq.htsc.com.cn/browse/FICCHEADS-147" TargetMode="External"/><Relationship Id="rId20" Type="http://schemas.openxmlformats.org/officeDocument/2006/relationships/hyperlink" Target="http://jira.htzq.htsc.com.cn/browse/FICCHEADS-931" TargetMode="External"/><Relationship Id="rId2" Type="http://schemas.openxmlformats.org/officeDocument/2006/relationships/hyperlink" Target="http://jira.htzq.htsc.com.cn/browse/FICCHEADS-1167" TargetMode="External"/><Relationship Id="rId19" Type="http://schemas.openxmlformats.org/officeDocument/2006/relationships/hyperlink" Target="http://jira.htzq.htsc.com.cn/browse/FICCHEADS-955" TargetMode="External"/><Relationship Id="rId18" Type="http://schemas.openxmlformats.org/officeDocument/2006/relationships/hyperlink" Target="http://jira.htzq.htsc.com.cn/browse/FICCHEADS-1149" TargetMode="External"/><Relationship Id="rId17" Type="http://schemas.openxmlformats.org/officeDocument/2006/relationships/hyperlink" Target="http://jira.htzq.htsc.com.cn/browse/FICCHEADS-1184" TargetMode="External"/><Relationship Id="rId16" Type="http://schemas.openxmlformats.org/officeDocument/2006/relationships/hyperlink" Target="http://jira.htzq.htsc.com.cn/browse/FICCHEADS-1194" TargetMode="External"/><Relationship Id="rId15" Type="http://schemas.openxmlformats.org/officeDocument/2006/relationships/hyperlink" Target="http://jira.htzq.htsc.com.cn/browse/FICCHEADS-1189" TargetMode="External"/><Relationship Id="rId14" Type="http://schemas.openxmlformats.org/officeDocument/2006/relationships/hyperlink" Target="http://jira.htzq.htsc.com.cn/browse/FICCHEADS-1140" TargetMode="External"/><Relationship Id="rId13" Type="http://schemas.openxmlformats.org/officeDocument/2006/relationships/hyperlink" Target="http://jira.htzq.htsc.com.cn/browse/FICCHEADS-1110" TargetMode="External"/><Relationship Id="rId12" Type="http://schemas.openxmlformats.org/officeDocument/2006/relationships/hyperlink" Target="http://jira.htzq.htsc.com.cn/browse/FICCHEADS-983" TargetMode="External"/><Relationship Id="rId11" Type="http://schemas.openxmlformats.org/officeDocument/2006/relationships/hyperlink" Target="http://jira.htzq.htsc.com.cn/browse/FICCHEADS-1096" TargetMode="External"/><Relationship Id="rId10" Type="http://schemas.openxmlformats.org/officeDocument/2006/relationships/hyperlink" Target="http://jira.htzq.htsc.com.cn/browse/FICCHEADS-1082" TargetMode="External"/><Relationship Id="rId1" Type="http://schemas.openxmlformats.org/officeDocument/2006/relationships/hyperlink" Target="http://jira.htzq.htsc.com.cn/browse/FICCHEADS-1180"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jira.htzq.htsc.com.cn/browse/FICCHEADS-812" TargetMode="External"/><Relationship Id="rId8" Type="http://schemas.openxmlformats.org/officeDocument/2006/relationships/hyperlink" Target="http://jira.htzq.htsc.com.cn/browse/FICCHEADS-1127" TargetMode="External"/><Relationship Id="rId76" Type="http://schemas.openxmlformats.org/officeDocument/2006/relationships/hyperlink" Target="http://wiki.htzq.htsc.com.cn/x/YktmGw" TargetMode="External"/><Relationship Id="rId75" Type="http://schemas.openxmlformats.org/officeDocument/2006/relationships/hyperlink" Target="http://wiki.htzq.htsc.com.cn/pages/viewpage.action?pageId=459150396" TargetMode="External"/><Relationship Id="rId74" Type="http://schemas.openxmlformats.org/officeDocument/2006/relationships/hyperlink" Target="http://wiki.htzq.htsc.com.cn/pages/viewpage.action?pageId=455950394" TargetMode="External"/><Relationship Id="rId73" Type="http://schemas.openxmlformats.org/officeDocument/2006/relationships/hyperlink" Target="http://wiki.htzq.htsc.com.cn/pages/viewpage.action?pageId=354620964" TargetMode="External"/><Relationship Id="rId72" Type="http://schemas.openxmlformats.org/officeDocument/2006/relationships/hyperlink" Target="http://wiki.htzq.htsc.com.cn/pages/createpage.action?spaceKey=ENAUDXPE68&amp;fromPageId=443098933" TargetMode="External"/><Relationship Id="rId71" Type="http://schemas.openxmlformats.org/officeDocument/2006/relationships/hyperlink" Target="http://wiki.htzq.htsc.com.cn/pages/viewpage.action?pageId=455325384" TargetMode="External"/><Relationship Id="rId70" Type="http://schemas.openxmlformats.org/officeDocument/2006/relationships/hyperlink" Target="http://jira.htzq.htsc.com.cn/browse/FICC-92075" TargetMode="External"/><Relationship Id="rId7" Type="http://schemas.openxmlformats.org/officeDocument/2006/relationships/hyperlink" Target="http://jira.htzq.htsc.com.cn/browse/FICCHEADS-873" TargetMode="External"/><Relationship Id="rId69" Type="http://schemas.openxmlformats.org/officeDocument/2006/relationships/hyperlink" Target="http://jira.htzq.htsc.com.cn/browse/FICC-92072" TargetMode="External"/><Relationship Id="rId68" Type="http://schemas.openxmlformats.org/officeDocument/2006/relationships/hyperlink" Target="http://jira.htzq.htsc.com.cn/browse/FICC-92070" TargetMode="External"/><Relationship Id="rId67" Type="http://schemas.openxmlformats.org/officeDocument/2006/relationships/hyperlink" Target="http://jira.htzq.htsc.com.cn/browse/FICC-92065" TargetMode="External"/><Relationship Id="rId66" Type="http://schemas.openxmlformats.org/officeDocument/2006/relationships/hyperlink" Target="http://jira.htzq.htsc.com.cn/browse/FICC-92061" TargetMode="External"/><Relationship Id="rId65" Type="http://schemas.openxmlformats.org/officeDocument/2006/relationships/hyperlink" Target="http://jira.htzq.htsc.com.cn/browse/FICC-92060" TargetMode="External"/><Relationship Id="rId64" Type="http://schemas.openxmlformats.org/officeDocument/2006/relationships/hyperlink" Target="http://jira.htzq.htsc.com.cn/browse/FICC-92058" TargetMode="External"/><Relationship Id="rId63" Type="http://schemas.openxmlformats.org/officeDocument/2006/relationships/hyperlink" Target="http://wiki.htzq.htsc.com.cn/pages/viewpage.action?pageId=454751422" TargetMode="External"/><Relationship Id="rId62" Type="http://schemas.openxmlformats.org/officeDocument/2006/relationships/hyperlink" Target="http://wiki.htzq.htsc.com.cn/pages/viewpage.action?pageId=455313229" TargetMode="External"/><Relationship Id="rId61" Type="http://schemas.openxmlformats.org/officeDocument/2006/relationships/hyperlink" Target="http://jira.htzq.htsc.com.cn/browse/FICC-92016" TargetMode="External"/><Relationship Id="rId60" Type="http://schemas.openxmlformats.org/officeDocument/2006/relationships/hyperlink" Target="http://wiki.htzq.htsc.com.cn/pages/viewpage.action?pageId=454748222" TargetMode="External"/><Relationship Id="rId6" Type="http://schemas.openxmlformats.org/officeDocument/2006/relationships/hyperlink" Target="http://jira.htzq.htsc.com.cn/browse/FICCHEADS-1124" TargetMode="External"/><Relationship Id="rId59" Type="http://schemas.openxmlformats.org/officeDocument/2006/relationships/hyperlink" Target="http://wiki.htzq.htsc.com.cn/pages/viewpage.action?pageId=451220308" TargetMode="External"/><Relationship Id="rId58" Type="http://schemas.openxmlformats.org/officeDocument/2006/relationships/hyperlink" Target="http://wiki.htzq.htsc.com.cn/pages/viewpage.action?pageId=454746429" TargetMode="External"/><Relationship Id="rId57" Type="http://schemas.openxmlformats.org/officeDocument/2006/relationships/hyperlink" Target="http://wiki.htzq.htsc.com.cn/pages/viewpage.action?pageId=454734722" TargetMode="External"/><Relationship Id="rId56" Type="http://schemas.openxmlformats.org/officeDocument/2006/relationships/hyperlink" Target="http://wiki.htzq.htsc.com.cn/pages/viewpage.action?pageId=450076387" TargetMode="External"/><Relationship Id="rId55" Type="http://schemas.openxmlformats.org/officeDocument/2006/relationships/hyperlink" Target="http://wiki.htzq.htsc.com.cn/pages/viewpage.action?pageId=378271671" TargetMode="External"/><Relationship Id="rId54" Type="http://schemas.openxmlformats.org/officeDocument/2006/relationships/hyperlink" Target="http://wiki.htzq.htsc.com.cn/pages/viewpage.action?pageId=341393953" TargetMode="External"/><Relationship Id="rId53" Type="http://schemas.openxmlformats.org/officeDocument/2006/relationships/hyperlink" Target="http://wiki.htzq.htsc.com.cn/pages/viewpage.action?pageId=424337370" TargetMode="External"/><Relationship Id="rId52" Type="http://schemas.openxmlformats.org/officeDocument/2006/relationships/hyperlink" Target="http://wiki.htzq.htsc.com.cn/x/VaQaGw" TargetMode="External"/><Relationship Id="rId51" Type="http://schemas.openxmlformats.org/officeDocument/2006/relationships/hyperlink" Target="http://wiki.htzq.htsc.com.cn/x/raAaGw" TargetMode="External"/><Relationship Id="rId50" Type="http://schemas.openxmlformats.org/officeDocument/2006/relationships/hyperlink" Target="http://wiki.htzq.htsc.com.cn/pages/viewpage.action?pageId=437466519" TargetMode="External"/><Relationship Id="rId5" Type="http://schemas.openxmlformats.org/officeDocument/2006/relationships/hyperlink" Target="http://jira.htzq.htsc.com.cn/browse/FICCHEADS-1099" TargetMode="External"/><Relationship Id="rId49" Type="http://schemas.openxmlformats.org/officeDocument/2006/relationships/hyperlink" Target="http://wiki.htzq.htsc.com.cn/pages/viewpage.action?pageId=450101163" TargetMode="External"/><Relationship Id="rId48" Type="http://schemas.openxmlformats.org/officeDocument/2006/relationships/hyperlink" Target="http://wiki.htzq.htsc.com.cn/pages/viewpage.action?pageId=453483976" TargetMode="External"/><Relationship Id="rId47" Type="http://schemas.openxmlformats.org/officeDocument/2006/relationships/hyperlink" Target="http://wiki.htzq.htsc.com.cn/pages/viewpage.action?pageId=453493816" TargetMode="External"/><Relationship Id="rId46" Type="http://schemas.openxmlformats.org/officeDocument/2006/relationships/hyperlink" Target="http://eip.htsc.com.cn/htoa/spa/workflow/static4form/index.html?_rdm=1768790739845#/main/workflow/req?requestid=7411633&amp;_workflowid=12522&amp;f_weaver_belongto_userid=70216&amp;isovertime=0&amp;preloadkey=1768790714101&amp;timestamp=1768790714101&amp;_key=7na5qv" TargetMode="External"/><Relationship Id="rId45" Type="http://schemas.openxmlformats.org/officeDocument/2006/relationships/hyperlink" Target="http://jira.htzq.htsc.com.cn/browse/FICCHEADS-1197" TargetMode="External"/><Relationship Id="rId44" Type="http://schemas.openxmlformats.org/officeDocument/2006/relationships/hyperlink" Target="http://wiki.htzq.htsc.com.cn/pages/viewpage.action?pageId=451236933" TargetMode="External"/><Relationship Id="rId43" Type="http://schemas.openxmlformats.org/officeDocument/2006/relationships/hyperlink" Target="http://wiki.htzq.htsc.com.cn/pages/viewpage.action?pageId=430998512" TargetMode="External"/><Relationship Id="rId42" Type="http://schemas.openxmlformats.org/officeDocument/2006/relationships/hyperlink" Target="http://wiki.htzq.htsc.com.cn/pages/viewpage.action?pageId=449428742" TargetMode="External"/><Relationship Id="rId41" Type="http://schemas.openxmlformats.org/officeDocument/2006/relationships/hyperlink" Target="http://wiki.htzq.htsc.com.cn/pages/viewpage.action?pageId=438196306" TargetMode="External"/><Relationship Id="rId40" Type="http://schemas.openxmlformats.org/officeDocument/2006/relationships/hyperlink" Target="http://wiki.htzq.htsc.com.cn/pages/viewpage.action?pageId=454066485" TargetMode="External"/><Relationship Id="rId4" Type="http://schemas.openxmlformats.org/officeDocument/2006/relationships/hyperlink" Target="http://jira.htzq.htsc.com.cn/browse/FICCHEADS-1136" TargetMode="External"/><Relationship Id="rId39" Type="http://schemas.openxmlformats.org/officeDocument/2006/relationships/hyperlink" Target="http://wiki.htzq.htsc.com.cn/pages/viewpage.action?pageId=454072834" TargetMode="External"/><Relationship Id="rId38" Type="http://schemas.openxmlformats.org/officeDocument/2006/relationships/hyperlink" Target="http://wiki.htzq.htsc.com.cn/pages/viewpage.action?pageId=453496226" TargetMode="External"/><Relationship Id="rId37" Type="http://schemas.openxmlformats.org/officeDocument/2006/relationships/hyperlink" Target="http://wiki.htzq.htsc.com.cn/pages/viewpage.action?pageId=453495134" TargetMode="External"/><Relationship Id="rId36" Type="http://schemas.openxmlformats.org/officeDocument/2006/relationships/hyperlink" Target="http://wiki.htzq.htsc.com.cn/pages/viewpage.action?pageId=450074118" TargetMode="External"/><Relationship Id="rId35" Type="http://schemas.openxmlformats.org/officeDocument/2006/relationships/hyperlink" Target="http://wiki.htzq.htsc.com.cn/pages/viewpage.action?pageId=444301602" TargetMode="External"/><Relationship Id="rId34" Type="http://schemas.openxmlformats.org/officeDocument/2006/relationships/hyperlink" Target="http://wiki.htzq.htsc.com.cn/pages/viewpage.action?pageId=453497008" TargetMode="External"/><Relationship Id="rId33" Type="http://schemas.openxmlformats.org/officeDocument/2006/relationships/hyperlink" Target="http://wiki.htzq.htsc.com.cn/pages/viewpage.action?pageId=437472062" TargetMode="External"/><Relationship Id="rId32" Type="http://schemas.openxmlformats.org/officeDocument/2006/relationships/hyperlink" Target="http://wiki.htzq.htsc.com.cn/pages/viewpage.action?pageId=424315538" TargetMode="External"/><Relationship Id="rId31" Type="http://schemas.openxmlformats.org/officeDocument/2006/relationships/hyperlink" Target="http://wiki.htzq.htsc.com.cn/pages/viewpage.action?pageId=391885489" TargetMode="External"/><Relationship Id="rId30" Type="http://schemas.openxmlformats.org/officeDocument/2006/relationships/hyperlink" Target="http://wiki.htzq.htsc.com.cn/pages/viewpage.action?pageId=452334885" TargetMode="External"/><Relationship Id="rId3" Type="http://schemas.openxmlformats.org/officeDocument/2006/relationships/hyperlink" Target="http://jira.htzq.htsc.com.cn/browse/FICCHEADS-1097" TargetMode="External"/><Relationship Id="rId29" Type="http://schemas.openxmlformats.org/officeDocument/2006/relationships/hyperlink" Target="http://wiki.htzq.htsc.com.cn/pages/viewpage.action?pageId=452350299" TargetMode="External"/><Relationship Id="rId28" Type="http://schemas.openxmlformats.org/officeDocument/2006/relationships/hyperlink" Target="http://wiki.htzq.htsc.com.cn/pages/viewpage.action?pageId=453500273" TargetMode="External"/><Relationship Id="rId27" Type="http://schemas.openxmlformats.org/officeDocument/2006/relationships/hyperlink" Target="http://wiki.htzq.htsc.com.cn/pages/viewpage.action?pageId=453486175" TargetMode="External"/><Relationship Id="rId26" Type="http://schemas.openxmlformats.org/officeDocument/2006/relationships/hyperlink" Target="http://wiki.htzq.htsc.com.cn/pages/viewpage.action?pageId=422007883" TargetMode="External"/><Relationship Id="rId25" Type="http://schemas.openxmlformats.org/officeDocument/2006/relationships/hyperlink" Target="http://wiki.htzq.htsc.com.cn/pages/viewpage.action?pageId=444859437" TargetMode="External"/><Relationship Id="rId24" Type="http://schemas.openxmlformats.org/officeDocument/2006/relationships/hyperlink" Target="http://wiki.htzq.htsc.com.cn/pages/viewpage.action?pageId=448024248" TargetMode="External"/><Relationship Id="rId23" Type="http://schemas.openxmlformats.org/officeDocument/2006/relationships/hyperlink" Target="http://wiki.htzq.htsc.com.cn/pages/viewpage.action?pageId=432902954" TargetMode="External"/><Relationship Id="rId22" Type="http://schemas.openxmlformats.org/officeDocument/2006/relationships/hyperlink" Target="http://wiki.htzq.htsc.com.cn/pages/viewpage.action?pageId=452870601" TargetMode="External"/><Relationship Id="rId21" Type="http://schemas.openxmlformats.org/officeDocument/2006/relationships/hyperlink" Target="http://jira.htzq.htsc.com.cn/browse/FICC-91766" TargetMode="External"/><Relationship Id="rId20" Type="http://schemas.openxmlformats.org/officeDocument/2006/relationships/hyperlink" Target="http://wiki.htzq.htsc.com.cn/pages/viewpage.action?pageId=441280821" TargetMode="External"/><Relationship Id="rId2" Type="http://schemas.openxmlformats.org/officeDocument/2006/relationships/hyperlink" Target="http://jira.htzq.htsc.com.cn/browse/FICCHEADS-1167" TargetMode="External"/><Relationship Id="rId19" Type="http://schemas.openxmlformats.org/officeDocument/2006/relationships/hyperlink" Target="http://wiki.htzq.htsc.com.cn/pages/viewpage.action?pageId=453508105" TargetMode="External"/><Relationship Id="rId18" Type="http://schemas.openxmlformats.org/officeDocument/2006/relationships/hyperlink" Target="http://wiki.htzq.htsc.com.cn/pages/viewpage.action?pageId=292966089" TargetMode="External"/><Relationship Id="rId17" Type="http://schemas.openxmlformats.org/officeDocument/2006/relationships/hyperlink" Target="http://jira.htzq.htsc.com.cn/browse/FICCHEADS-1168" TargetMode="External"/><Relationship Id="rId16" Type="http://schemas.openxmlformats.org/officeDocument/2006/relationships/hyperlink" Target="http://eip.htsc.com.cn/htoa/spa/workflow/static4form/index.html?_rdm=1766557045845" TargetMode="External"/><Relationship Id="rId15" Type="http://schemas.openxmlformats.org/officeDocument/2006/relationships/hyperlink" Target="http://jira.htzq.htsc.com.cn/browse/FICCHEADS-1149" TargetMode="External"/><Relationship Id="rId14" Type="http://schemas.openxmlformats.org/officeDocument/2006/relationships/hyperlink" Target="http://jira.htzq.htsc.com.cn/browse/FICCHEADS-1194" TargetMode="External"/><Relationship Id="rId13" Type="http://schemas.openxmlformats.org/officeDocument/2006/relationships/hyperlink" Target="http://jira.htzq.htsc.com.cn/browse/FICCHEADS-1189" TargetMode="External"/><Relationship Id="rId12" Type="http://schemas.openxmlformats.org/officeDocument/2006/relationships/hyperlink" Target="http://jira.htzq.htsc.com.cn/browse/FICCHEADS-1140" TargetMode="External"/><Relationship Id="rId11" Type="http://schemas.openxmlformats.org/officeDocument/2006/relationships/hyperlink" Target="http://jira.htzq.htsc.com.cn/browse/FICCHEADS-1096" TargetMode="External"/><Relationship Id="rId10" Type="http://schemas.openxmlformats.org/officeDocument/2006/relationships/hyperlink" Target="http://jira.htzq.htsc.com.cn/browse/FICCHEADS-1082" TargetMode="External"/><Relationship Id="rId1" Type="http://schemas.openxmlformats.org/officeDocument/2006/relationships/hyperlink" Target="http://jira.htzq.htsc.com.cn/browse/FICCHEADS-118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jira.htzq.htsc.com.cn/browse/FICC-9176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4"/>
  <sheetViews>
    <sheetView workbookViewId="0">
      <pane xSplit="4" ySplit="1" topLeftCell="S28" activePane="bottomRight" state="frozen"/>
      <selection/>
      <selection pane="topRight"/>
      <selection pane="bottomLeft"/>
      <selection pane="bottomRight" activeCell="S28" sqref="S28"/>
    </sheetView>
  </sheetViews>
  <sheetFormatPr defaultColWidth="9" defaultRowHeight="13.5" zeroHeight="1"/>
  <cols>
    <col min="1" max="1" width="18.75" style="1" customWidth="1"/>
    <col min="2" max="2" width="17.1583333333333" style="1" customWidth="1"/>
    <col min="3" max="3" width="37.6166666666667" style="1" customWidth="1"/>
    <col min="4" max="4" width="36.3666666666667" style="1" customWidth="1"/>
    <col min="5" max="5" width="10.875" style="1" customWidth="1"/>
    <col min="6" max="6" width="10.625" style="1" customWidth="1"/>
    <col min="7" max="7" width="13.75" style="1" customWidth="1"/>
    <col min="8" max="8" width="16.625" style="1" customWidth="1"/>
    <col min="9" max="9" width="28.8" style="1" customWidth="1"/>
    <col min="10" max="10" width="18.25" style="1" customWidth="1"/>
    <col min="11" max="11" width="10" style="1" customWidth="1"/>
    <col min="12" max="12" width="12.5" style="28" customWidth="1"/>
    <col min="13" max="13" width="21.3666666666667" style="65" customWidth="1"/>
    <col min="14" max="14" width="13" style="1" customWidth="1"/>
    <col min="15" max="15" width="22.6583333333333" style="1" customWidth="1"/>
    <col min="16" max="16" width="22.6583333333333" style="67" customWidth="1"/>
    <col min="17" max="17" width="22.6583333333333" style="1" customWidth="1"/>
    <col min="18" max="18" width="13.2666666666667" style="1" customWidth="1"/>
    <col min="19" max="19" width="34.2083333333333" style="1" customWidth="1"/>
    <col min="20" max="20" width="32.7916666666667" style="67" hidden="1" customWidth="1"/>
    <col min="21" max="21" width="49.1666666666667" style="1" customWidth="1"/>
    <col min="22" max="23" width="59.6416666666667" style="1" customWidth="1"/>
    <col min="24" max="16384" width="9" style="1"/>
  </cols>
  <sheetData>
    <row r="1" ht="30" spans="1:22">
      <c r="A1" s="203" t="s">
        <v>0</v>
      </c>
      <c r="B1" s="203" t="s">
        <v>1</v>
      </c>
      <c r="C1" s="203" t="s">
        <v>2</v>
      </c>
      <c r="D1" s="203" t="s">
        <v>3</v>
      </c>
      <c r="E1" s="203" t="s">
        <v>4</v>
      </c>
      <c r="F1" s="203" t="s">
        <v>5</v>
      </c>
      <c r="G1" s="203" t="s">
        <v>6</v>
      </c>
      <c r="H1" s="203" t="s">
        <v>7</v>
      </c>
      <c r="I1" s="213" t="s">
        <v>8</v>
      </c>
      <c r="J1" s="203" t="s">
        <v>9</v>
      </c>
      <c r="K1" s="213" t="s">
        <v>10</v>
      </c>
      <c r="L1" s="214" t="s">
        <v>11</v>
      </c>
      <c r="M1" s="213" t="s">
        <v>12</v>
      </c>
      <c r="N1" s="220" t="s">
        <v>13</v>
      </c>
      <c r="O1" s="221" t="s">
        <v>14</v>
      </c>
      <c r="P1" s="221" t="s">
        <v>15</v>
      </c>
      <c r="Q1" s="221" t="s">
        <v>16</v>
      </c>
      <c r="R1" s="221" t="s">
        <v>17</v>
      </c>
      <c r="S1" s="221" t="s">
        <v>18</v>
      </c>
      <c r="T1" s="221" t="s">
        <v>18</v>
      </c>
      <c r="U1" s="226" t="s">
        <v>19</v>
      </c>
      <c r="V1" s="221" t="s">
        <v>20</v>
      </c>
    </row>
    <row r="2" ht="51.75" customHeight="1" spans="1:22">
      <c r="A2" s="12" t="s">
        <v>21</v>
      </c>
      <c r="B2" s="72" t="s">
        <v>22</v>
      </c>
      <c r="C2" s="62" t="s">
        <v>23</v>
      </c>
      <c r="D2" s="186" t="s">
        <v>24</v>
      </c>
      <c r="E2" s="34" t="s">
        <v>25</v>
      </c>
      <c r="F2" s="34" t="s">
        <v>26</v>
      </c>
      <c r="G2" s="103" t="s">
        <v>27</v>
      </c>
      <c r="H2" s="34" t="s">
        <v>28</v>
      </c>
      <c r="I2" s="34" t="s">
        <v>29</v>
      </c>
      <c r="J2" s="34"/>
      <c r="K2" s="37"/>
      <c r="L2" s="98" t="s">
        <v>30</v>
      </c>
      <c r="M2" s="37" t="s">
        <v>31</v>
      </c>
      <c r="N2" s="82" t="s">
        <v>32</v>
      </c>
      <c r="O2" s="103" t="s">
        <v>33</v>
      </c>
      <c r="P2" s="34" t="s">
        <v>34</v>
      </c>
      <c r="Q2" s="120" t="s">
        <v>35</v>
      </c>
      <c r="R2" s="120" t="s">
        <v>35</v>
      </c>
      <c r="S2" s="120" t="s">
        <v>36</v>
      </c>
      <c r="T2" s="6"/>
      <c r="U2" s="6" t="s">
        <v>37</v>
      </c>
      <c r="V2" s="227" t="s">
        <v>38</v>
      </c>
    </row>
    <row r="3" ht="36.95" customHeight="1" spans="1:22">
      <c r="A3" s="12" t="s">
        <v>21</v>
      </c>
      <c r="B3" s="72" t="s">
        <v>39</v>
      </c>
      <c r="C3" s="62" t="s">
        <v>40</v>
      </c>
      <c r="D3" s="39" t="s">
        <v>41</v>
      </c>
      <c r="E3" s="34" t="s">
        <v>25</v>
      </c>
      <c r="F3" s="34" t="s">
        <v>42</v>
      </c>
      <c r="G3" s="103" t="s">
        <v>27</v>
      </c>
      <c r="H3" s="34" t="s">
        <v>28</v>
      </c>
      <c r="I3" s="34" t="s">
        <v>29</v>
      </c>
      <c r="J3" s="34"/>
      <c r="K3" s="37"/>
      <c r="L3" s="98" t="s">
        <v>30</v>
      </c>
      <c r="M3" s="37" t="s">
        <v>31</v>
      </c>
      <c r="N3" s="82" t="s">
        <v>32</v>
      </c>
      <c r="O3" s="103" t="s">
        <v>33</v>
      </c>
      <c r="P3" s="34" t="s">
        <v>34</v>
      </c>
      <c r="Q3" s="120" t="s">
        <v>35</v>
      </c>
      <c r="R3" s="120" t="s">
        <v>35</v>
      </c>
      <c r="S3" s="80" t="s">
        <v>36</v>
      </c>
      <c r="T3" s="190"/>
      <c r="U3" s="6" t="s">
        <v>43</v>
      </c>
      <c r="V3" s="227" t="s">
        <v>38</v>
      </c>
    </row>
    <row r="4" s="1" customFormat="1" ht="30.85" customHeight="1" spans="1:22">
      <c r="A4" s="12" t="s">
        <v>44</v>
      </c>
      <c r="B4" s="72" t="s">
        <v>45</v>
      </c>
      <c r="C4" s="62" t="s">
        <v>46</v>
      </c>
      <c r="D4" s="62"/>
      <c r="E4" s="34" t="s">
        <v>47</v>
      </c>
      <c r="F4" s="34" t="s">
        <v>26</v>
      </c>
      <c r="G4" s="34" t="s">
        <v>48</v>
      </c>
      <c r="H4" s="34" t="s">
        <v>49</v>
      </c>
      <c r="I4" s="34" t="s">
        <v>29</v>
      </c>
      <c r="J4" s="37" t="s">
        <v>50</v>
      </c>
      <c r="K4" s="119"/>
      <c r="L4" s="17" t="s">
        <v>51</v>
      </c>
      <c r="M4" s="37" t="s">
        <v>31</v>
      </c>
      <c r="N4" s="103" t="s">
        <v>52</v>
      </c>
      <c r="O4" s="103" t="s">
        <v>53</v>
      </c>
      <c r="P4" s="34" t="s">
        <v>54</v>
      </c>
      <c r="Q4" s="120" t="s">
        <v>35</v>
      </c>
      <c r="R4" s="120" t="s">
        <v>35</v>
      </c>
      <c r="S4" s="120" t="s">
        <v>55</v>
      </c>
      <c r="T4" s="118" t="s">
        <v>56</v>
      </c>
      <c r="U4" s="6" t="s">
        <v>57</v>
      </c>
      <c r="V4" s="227" t="s">
        <v>38</v>
      </c>
    </row>
    <row r="5" s="1" customFormat="1" ht="35.45" customHeight="1" spans="1:22">
      <c r="A5" s="12" t="s">
        <v>44</v>
      </c>
      <c r="B5" s="72" t="s">
        <v>58</v>
      </c>
      <c r="C5" s="62" t="s">
        <v>59</v>
      </c>
      <c r="D5" s="62"/>
      <c r="E5" s="34" t="s">
        <v>47</v>
      </c>
      <c r="F5" s="34" t="s">
        <v>60</v>
      </c>
      <c r="G5" s="34" t="s">
        <v>61</v>
      </c>
      <c r="H5" s="34" t="s">
        <v>62</v>
      </c>
      <c r="I5" s="34" t="s">
        <v>63</v>
      </c>
      <c r="J5" s="37" t="s">
        <v>64</v>
      </c>
      <c r="K5" s="37"/>
      <c r="L5" s="98" t="s">
        <v>65</v>
      </c>
      <c r="M5" s="37" t="s">
        <v>31</v>
      </c>
      <c r="N5" s="103" t="s">
        <v>66</v>
      </c>
      <c r="O5" s="103" t="s">
        <v>67</v>
      </c>
      <c r="P5" s="34" t="s">
        <v>68</v>
      </c>
      <c r="Q5" s="120" t="s">
        <v>35</v>
      </c>
      <c r="R5" s="120" t="s">
        <v>35</v>
      </c>
      <c r="S5" s="120" t="s">
        <v>69</v>
      </c>
      <c r="T5" s="6" t="s">
        <v>56</v>
      </c>
      <c r="U5" s="6" t="s">
        <v>70</v>
      </c>
      <c r="V5" s="228" t="s">
        <v>71</v>
      </c>
    </row>
    <row r="6" ht="31.35" customHeight="1" spans="1:22">
      <c r="A6" s="12" t="s">
        <v>21</v>
      </c>
      <c r="B6" s="72" t="s">
        <v>72</v>
      </c>
      <c r="C6" s="62" t="s">
        <v>73</v>
      </c>
      <c r="D6" s="62" t="s">
        <v>74</v>
      </c>
      <c r="E6" s="34" t="s">
        <v>25</v>
      </c>
      <c r="F6" s="34" t="s">
        <v>42</v>
      </c>
      <c r="G6" s="103" t="s">
        <v>27</v>
      </c>
      <c r="H6" s="34" t="s">
        <v>28</v>
      </c>
      <c r="I6" s="34" t="s">
        <v>29</v>
      </c>
      <c r="J6" s="34"/>
      <c r="K6" s="37"/>
      <c r="L6" s="98" t="s">
        <v>30</v>
      </c>
      <c r="M6" s="37" t="s">
        <v>31</v>
      </c>
      <c r="N6" s="82" t="s">
        <v>32</v>
      </c>
      <c r="O6" s="103" t="s">
        <v>33</v>
      </c>
      <c r="P6" s="34" t="s">
        <v>34</v>
      </c>
      <c r="Q6" s="120" t="s">
        <v>35</v>
      </c>
      <c r="R6" s="120" t="s">
        <v>35</v>
      </c>
      <c r="S6" s="120" t="s">
        <v>36</v>
      </c>
      <c r="T6" s="6"/>
      <c r="U6" s="6" t="s">
        <v>75</v>
      </c>
      <c r="V6" s="227" t="s">
        <v>38</v>
      </c>
    </row>
    <row r="7" ht="29.3" customHeight="1" spans="1:22">
      <c r="A7" s="12" t="s">
        <v>21</v>
      </c>
      <c r="B7" s="72" t="s">
        <v>76</v>
      </c>
      <c r="C7" s="62" t="s">
        <v>77</v>
      </c>
      <c r="D7" s="62"/>
      <c r="E7" s="34" t="s">
        <v>25</v>
      </c>
      <c r="F7" s="34" t="s">
        <v>78</v>
      </c>
      <c r="G7" s="34" t="s">
        <v>79</v>
      </c>
      <c r="H7" s="34" t="s">
        <v>80</v>
      </c>
      <c r="I7" s="34" t="s">
        <v>81</v>
      </c>
      <c r="J7" s="37" t="s">
        <v>82</v>
      </c>
      <c r="K7" s="119"/>
      <c r="L7" s="17" t="s">
        <v>65</v>
      </c>
      <c r="M7" s="37" t="s">
        <v>31</v>
      </c>
      <c r="N7" s="84" t="s">
        <v>83</v>
      </c>
      <c r="O7" s="84" t="s">
        <v>84</v>
      </c>
      <c r="P7" s="73" t="s">
        <v>34</v>
      </c>
      <c r="Q7" s="120" t="s">
        <v>35</v>
      </c>
      <c r="R7" s="120" t="s">
        <v>35</v>
      </c>
      <c r="S7" s="120" t="s">
        <v>36</v>
      </c>
      <c r="T7" s="6" t="s">
        <v>56</v>
      </c>
      <c r="U7" s="6" t="s">
        <v>85</v>
      </c>
      <c r="V7" s="228" t="s">
        <v>86</v>
      </c>
    </row>
    <row r="8" ht="33.4" customHeight="1" spans="1:22">
      <c r="A8" s="12" t="s">
        <v>21</v>
      </c>
      <c r="B8" s="72" t="s">
        <v>87</v>
      </c>
      <c r="C8" s="62" t="s">
        <v>88</v>
      </c>
      <c r="D8" s="39" t="s">
        <v>89</v>
      </c>
      <c r="E8" s="34" t="s">
        <v>25</v>
      </c>
      <c r="F8" s="34" t="s">
        <v>78</v>
      </c>
      <c r="G8" s="103" t="s">
        <v>90</v>
      </c>
      <c r="H8" s="34" t="s">
        <v>91</v>
      </c>
      <c r="I8" s="37" t="s">
        <v>63</v>
      </c>
      <c r="J8" s="37" t="s">
        <v>92</v>
      </c>
      <c r="K8" s="37"/>
      <c r="L8" s="98" t="s">
        <v>93</v>
      </c>
      <c r="M8" s="37" t="s">
        <v>31</v>
      </c>
      <c r="N8" s="82" t="s">
        <v>94</v>
      </c>
      <c r="O8" s="82" t="s">
        <v>84</v>
      </c>
      <c r="P8" s="62" t="s">
        <v>34</v>
      </c>
      <c r="Q8" s="120" t="s">
        <v>35</v>
      </c>
      <c r="R8" s="120" t="s">
        <v>35</v>
      </c>
      <c r="S8" s="120" t="s">
        <v>55</v>
      </c>
      <c r="T8" s="6" t="s">
        <v>95</v>
      </c>
      <c r="U8" s="6" t="s">
        <v>96</v>
      </c>
      <c r="V8" s="227" t="s">
        <v>38</v>
      </c>
    </row>
    <row r="9" ht="33" spans="1:22">
      <c r="A9" s="12" t="s">
        <v>21</v>
      </c>
      <c r="B9" s="72" t="s">
        <v>97</v>
      </c>
      <c r="C9" s="62" t="s">
        <v>98</v>
      </c>
      <c r="D9" s="62"/>
      <c r="E9" s="34" t="s">
        <v>25</v>
      </c>
      <c r="F9" s="34" t="s">
        <v>99</v>
      </c>
      <c r="G9" s="34" t="s">
        <v>100</v>
      </c>
      <c r="H9" s="34" t="s">
        <v>101</v>
      </c>
      <c r="I9" s="37" t="s">
        <v>81</v>
      </c>
      <c r="J9" s="37" t="s">
        <v>82</v>
      </c>
      <c r="K9" s="119"/>
      <c r="L9" s="17" t="s">
        <v>65</v>
      </c>
      <c r="M9" s="37" t="s">
        <v>31</v>
      </c>
      <c r="N9" s="103" t="s">
        <v>52</v>
      </c>
      <c r="O9" s="103" t="s">
        <v>102</v>
      </c>
      <c r="P9" s="34" t="s">
        <v>34</v>
      </c>
      <c r="Q9" s="120" t="s">
        <v>35</v>
      </c>
      <c r="R9" s="120" t="s">
        <v>35</v>
      </c>
      <c r="S9" s="120" t="s">
        <v>36</v>
      </c>
      <c r="T9" s="190" t="s">
        <v>56</v>
      </c>
      <c r="U9" s="6" t="s">
        <v>103</v>
      </c>
      <c r="V9" s="229" t="s">
        <v>104</v>
      </c>
    </row>
    <row r="10" ht="27.95" customHeight="1" spans="1:22">
      <c r="A10" s="12" t="s">
        <v>21</v>
      </c>
      <c r="B10" s="83" t="s">
        <v>105</v>
      </c>
      <c r="C10" s="62" t="s">
        <v>106</v>
      </c>
      <c r="D10" s="204"/>
      <c r="E10" s="82" t="s">
        <v>25</v>
      </c>
      <c r="F10" s="209" t="s">
        <v>99</v>
      </c>
      <c r="G10" s="209" t="s">
        <v>107</v>
      </c>
      <c r="H10" s="209" t="s">
        <v>108</v>
      </c>
      <c r="I10" s="37" t="s">
        <v>109</v>
      </c>
      <c r="J10" s="37" t="s">
        <v>110</v>
      </c>
      <c r="K10" s="119"/>
      <c r="L10" s="17" t="s">
        <v>111</v>
      </c>
      <c r="M10" s="37" t="s">
        <v>31</v>
      </c>
      <c r="N10" s="103" t="s">
        <v>94</v>
      </c>
      <c r="O10" s="103" t="s">
        <v>33</v>
      </c>
      <c r="P10" s="34" t="s">
        <v>34</v>
      </c>
      <c r="Q10" s="120" t="s">
        <v>35</v>
      </c>
      <c r="R10" s="120" t="s">
        <v>35</v>
      </c>
      <c r="S10" s="120" t="s">
        <v>55</v>
      </c>
      <c r="T10" s="6"/>
      <c r="U10" s="6" t="s">
        <v>112</v>
      </c>
      <c r="V10" s="227" t="s">
        <v>38</v>
      </c>
    </row>
    <row r="11" ht="37.15" customHeight="1" spans="1:22">
      <c r="A11" s="12" t="s">
        <v>21</v>
      </c>
      <c r="B11" s="72" t="s">
        <v>113</v>
      </c>
      <c r="C11" s="62" t="s">
        <v>114</v>
      </c>
      <c r="D11" s="39" t="s">
        <v>115</v>
      </c>
      <c r="E11" s="103" t="s">
        <v>25</v>
      </c>
      <c r="F11" s="103" t="s">
        <v>99</v>
      </c>
      <c r="G11" s="103" t="s">
        <v>100</v>
      </c>
      <c r="H11" s="103" t="s">
        <v>101</v>
      </c>
      <c r="I11" s="109" t="s">
        <v>81</v>
      </c>
      <c r="J11" s="37" t="s">
        <v>82</v>
      </c>
      <c r="K11" s="37"/>
      <c r="L11" s="98" t="s">
        <v>65</v>
      </c>
      <c r="M11" s="37" t="s">
        <v>31</v>
      </c>
      <c r="N11" s="82" t="s">
        <v>52</v>
      </c>
      <c r="O11" s="103" t="s">
        <v>116</v>
      </c>
      <c r="P11" s="34" t="s">
        <v>34</v>
      </c>
      <c r="Q11" s="120" t="s">
        <v>35</v>
      </c>
      <c r="R11" s="120" t="s">
        <v>35</v>
      </c>
      <c r="S11" s="120" t="s">
        <v>36</v>
      </c>
      <c r="T11" s="6" t="s">
        <v>56</v>
      </c>
      <c r="U11" s="6" t="s">
        <v>117</v>
      </c>
      <c r="V11" s="227" t="s">
        <v>38</v>
      </c>
    </row>
    <row r="12" ht="20.25" customHeight="1" spans="1:22">
      <c r="A12" s="89" t="s">
        <v>21</v>
      </c>
      <c r="B12" s="90" t="s">
        <v>118</v>
      </c>
      <c r="C12" s="39" t="s">
        <v>119</v>
      </c>
      <c r="D12" s="37" t="s">
        <v>120</v>
      </c>
      <c r="E12" s="37" t="s">
        <v>25</v>
      </c>
      <c r="F12" s="106" t="s">
        <v>99</v>
      </c>
      <c r="G12" s="106" t="s">
        <v>100</v>
      </c>
      <c r="H12" s="106" t="s">
        <v>121</v>
      </c>
      <c r="I12" s="106" t="s">
        <v>122</v>
      </c>
      <c r="J12" s="98" t="s">
        <v>123</v>
      </c>
      <c r="K12" s="107"/>
      <c r="L12" s="98" t="s">
        <v>65</v>
      </c>
      <c r="M12" s="222" t="s">
        <v>124</v>
      </c>
      <c r="N12" s="107" t="s">
        <v>83</v>
      </c>
      <c r="O12" s="120" t="s">
        <v>102</v>
      </c>
      <c r="P12" s="8" t="s">
        <v>34</v>
      </c>
      <c r="Q12" s="211" t="s">
        <v>35</v>
      </c>
      <c r="R12" s="211" t="s">
        <v>125</v>
      </c>
      <c r="S12" s="85" t="s">
        <v>126</v>
      </c>
      <c r="T12" s="225" t="s">
        <v>126</v>
      </c>
      <c r="U12" s="134" t="s">
        <v>127</v>
      </c>
      <c r="V12" s="230"/>
    </row>
    <row r="13" ht="20.25" customHeight="1" spans="1:22">
      <c r="A13" s="89" t="s">
        <v>21</v>
      </c>
      <c r="B13" s="90" t="s">
        <v>128</v>
      </c>
      <c r="C13" s="39" t="s">
        <v>129</v>
      </c>
      <c r="D13" s="39" t="s">
        <v>130</v>
      </c>
      <c r="E13" s="37" t="s">
        <v>25</v>
      </c>
      <c r="F13" s="106" t="s">
        <v>131</v>
      </c>
      <c r="G13" s="106" t="s">
        <v>132</v>
      </c>
      <c r="H13" s="106" t="s">
        <v>62</v>
      </c>
      <c r="I13" s="106" t="s">
        <v>122</v>
      </c>
      <c r="J13" s="98" t="s">
        <v>133</v>
      </c>
      <c r="K13" s="107"/>
      <c r="L13" s="98" t="s">
        <v>93</v>
      </c>
      <c r="M13" s="222" t="s">
        <v>134</v>
      </c>
      <c r="N13" s="107" t="s">
        <v>83</v>
      </c>
      <c r="O13" s="12" t="s">
        <v>84</v>
      </c>
      <c r="P13" s="6" t="s">
        <v>34</v>
      </c>
      <c r="Q13" s="211" t="s">
        <v>35</v>
      </c>
      <c r="R13" s="211" t="s">
        <v>35</v>
      </c>
      <c r="S13" s="85" t="s">
        <v>69</v>
      </c>
      <c r="T13" s="134" t="s">
        <v>126</v>
      </c>
      <c r="U13" s="134" t="s">
        <v>135</v>
      </c>
      <c r="V13" s="227" t="s">
        <v>136</v>
      </c>
    </row>
    <row r="14" ht="20.25" customHeight="1" spans="1:22">
      <c r="A14" s="89" t="s">
        <v>44</v>
      </c>
      <c r="B14" s="90" t="s">
        <v>137</v>
      </c>
      <c r="C14" s="39" t="s">
        <v>138</v>
      </c>
      <c r="D14" s="39" t="s">
        <v>139</v>
      </c>
      <c r="E14" s="88" t="s">
        <v>47</v>
      </c>
      <c r="F14" s="210" t="s">
        <v>78</v>
      </c>
      <c r="G14" s="210" t="s">
        <v>140</v>
      </c>
      <c r="H14" s="210" t="s">
        <v>62</v>
      </c>
      <c r="I14" s="106" t="s">
        <v>63</v>
      </c>
      <c r="J14" s="98" t="s">
        <v>141</v>
      </c>
      <c r="K14" s="107"/>
      <c r="L14" s="98" t="s">
        <v>93</v>
      </c>
      <c r="M14" s="222" t="s">
        <v>142</v>
      </c>
      <c r="N14" s="107" t="s">
        <v>66</v>
      </c>
      <c r="O14" s="107" t="s">
        <v>84</v>
      </c>
      <c r="P14" s="134"/>
      <c r="Q14" s="211" t="s">
        <v>35</v>
      </c>
      <c r="R14" s="211" t="s">
        <v>35</v>
      </c>
      <c r="S14" s="85" t="s">
        <v>69</v>
      </c>
      <c r="T14" s="225" t="s">
        <v>143</v>
      </c>
      <c r="U14" s="134" t="s">
        <v>144</v>
      </c>
      <c r="V14" s="227" t="s">
        <v>38</v>
      </c>
    </row>
    <row r="15" ht="20.25" customHeight="1" spans="1:22">
      <c r="A15" s="89" t="s">
        <v>44</v>
      </c>
      <c r="B15" s="90" t="s">
        <v>145</v>
      </c>
      <c r="C15" s="39" t="s">
        <v>146</v>
      </c>
      <c r="D15" s="39" t="s">
        <v>147</v>
      </c>
      <c r="E15" s="37" t="s">
        <v>47</v>
      </c>
      <c r="F15" s="106" t="s">
        <v>148</v>
      </c>
      <c r="G15" s="106" t="s">
        <v>61</v>
      </c>
      <c r="H15" s="106" t="s">
        <v>49</v>
      </c>
      <c r="I15" s="106" t="s">
        <v>63</v>
      </c>
      <c r="J15" s="98" t="s">
        <v>149</v>
      </c>
      <c r="K15" s="107"/>
      <c r="L15" s="98" t="s">
        <v>65</v>
      </c>
      <c r="M15" s="222" t="s">
        <v>150</v>
      </c>
      <c r="N15" s="107" t="s">
        <v>66</v>
      </c>
      <c r="O15" s="107" t="s">
        <v>84</v>
      </c>
      <c r="P15" s="134"/>
      <c r="Q15" s="211" t="s">
        <v>35</v>
      </c>
      <c r="R15" s="211" t="s">
        <v>35</v>
      </c>
      <c r="S15" s="85" t="s">
        <v>69</v>
      </c>
      <c r="T15" s="225" t="s">
        <v>143</v>
      </c>
      <c r="U15" s="134" t="s">
        <v>144</v>
      </c>
      <c r="V15" s="227" t="s">
        <v>38</v>
      </c>
    </row>
    <row r="16" ht="20.25" customHeight="1" spans="1:22">
      <c r="A16" s="89" t="s">
        <v>21</v>
      </c>
      <c r="B16" s="90" t="s">
        <v>151</v>
      </c>
      <c r="C16" s="39" t="s">
        <v>152</v>
      </c>
      <c r="D16" s="39" t="s">
        <v>153</v>
      </c>
      <c r="E16" s="37" t="s">
        <v>25</v>
      </c>
      <c r="F16" s="106" t="s">
        <v>26</v>
      </c>
      <c r="G16" s="106" t="s">
        <v>27</v>
      </c>
      <c r="H16" s="106" t="s">
        <v>62</v>
      </c>
      <c r="I16" s="106" t="s">
        <v>29</v>
      </c>
      <c r="J16" s="98" t="s">
        <v>154</v>
      </c>
      <c r="K16" s="107"/>
      <c r="L16" s="98" t="s">
        <v>30</v>
      </c>
      <c r="M16" s="222" t="s">
        <v>155</v>
      </c>
      <c r="N16" s="107" t="s">
        <v>32</v>
      </c>
      <c r="O16" s="107" t="s">
        <v>33</v>
      </c>
      <c r="P16" s="134" t="s">
        <v>34</v>
      </c>
      <c r="Q16" s="211" t="s">
        <v>35</v>
      </c>
      <c r="R16" s="211" t="s">
        <v>125</v>
      </c>
      <c r="S16" s="211" t="s">
        <v>126</v>
      </c>
      <c r="T16" s="134" t="s">
        <v>126</v>
      </c>
      <c r="U16" s="134" t="s">
        <v>156</v>
      </c>
      <c r="V16" s="231"/>
    </row>
    <row r="17" ht="20.25" customHeight="1" spans="1:22">
      <c r="A17" s="89" t="s">
        <v>21</v>
      </c>
      <c r="B17" s="90" t="s">
        <v>157</v>
      </c>
      <c r="C17" s="39" t="s">
        <v>158</v>
      </c>
      <c r="D17" s="39" t="s">
        <v>159</v>
      </c>
      <c r="E17" s="37" t="s">
        <v>25</v>
      </c>
      <c r="F17" s="106" t="s">
        <v>26</v>
      </c>
      <c r="G17" s="106" t="s">
        <v>27</v>
      </c>
      <c r="H17" s="106" t="s">
        <v>160</v>
      </c>
      <c r="I17" s="106" t="s">
        <v>29</v>
      </c>
      <c r="J17" s="98" t="s">
        <v>161</v>
      </c>
      <c r="K17" s="107"/>
      <c r="L17" s="98" t="s">
        <v>30</v>
      </c>
      <c r="M17" s="222" t="s">
        <v>162</v>
      </c>
      <c r="N17" s="107" t="s">
        <v>32</v>
      </c>
      <c r="O17" s="107" t="s">
        <v>33</v>
      </c>
      <c r="P17" s="134" t="s">
        <v>34</v>
      </c>
      <c r="Q17" s="211" t="s">
        <v>35</v>
      </c>
      <c r="R17" s="211" t="s">
        <v>35</v>
      </c>
      <c r="S17" s="85" t="s">
        <v>36</v>
      </c>
      <c r="T17" s="225" t="s">
        <v>56</v>
      </c>
      <c r="U17" s="134" t="s">
        <v>163</v>
      </c>
      <c r="V17" s="227" t="s">
        <v>38</v>
      </c>
    </row>
    <row r="18" ht="20.25" customHeight="1" spans="1:22">
      <c r="A18" s="89" t="s">
        <v>21</v>
      </c>
      <c r="B18" s="90" t="s">
        <v>164</v>
      </c>
      <c r="C18" s="39" t="s">
        <v>165</v>
      </c>
      <c r="D18" s="39" t="s">
        <v>166</v>
      </c>
      <c r="E18" s="37" t="s">
        <v>25</v>
      </c>
      <c r="F18" s="106" t="s">
        <v>99</v>
      </c>
      <c r="G18" s="106" t="s">
        <v>107</v>
      </c>
      <c r="H18" s="106" t="s">
        <v>167</v>
      </c>
      <c r="I18" s="106" t="s">
        <v>109</v>
      </c>
      <c r="J18" s="98" t="s">
        <v>110</v>
      </c>
      <c r="K18" s="107"/>
      <c r="L18" s="98" t="s">
        <v>51</v>
      </c>
      <c r="M18" s="222" t="s">
        <v>168</v>
      </c>
      <c r="N18" s="107" t="s">
        <v>94</v>
      </c>
      <c r="O18" s="107" t="s">
        <v>33</v>
      </c>
      <c r="P18" s="134" t="s">
        <v>34</v>
      </c>
      <c r="Q18" s="211" t="s">
        <v>35</v>
      </c>
      <c r="R18" s="211" t="s">
        <v>35</v>
      </c>
      <c r="S18" s="85" t="s">
        <v>55</v>
      </c>
      <c r="T18" s="225" t="s">
        <v>95</v>
      </c>
      <c r="U18" s="134" t="s">
        <v>169</v>
      </c>
      <c r="V18" s="227" t="s">
        <v>38</v>
      </c>
    </row>
    <row r="19" ht="20.25" customHeight="1" spans="1:22">
      <c r="A19" s="89" t="s">
        <v>21</v>
      </c>
      <c r="B19" s="90" t="s">
        <v>170</v>
      </c>
      <c r="C19" s="205" t="s">
        <v>171</v>
      </c>
      <c r="D19" s="39" t="s">
        <v>172</v>
      </c>
      <c r="E19" s="37" t="s">
        <v>25</v>
      </c>
      <c r="F19" s="106" t="s">
        <v>99</v>
      </c>
      <c r="G19" s="106" t="s">
        <v>107</v>
      </c>
      <c r="H19" s="106" t="s">
        <v>167</v>
      </c>
      <c r="I19" s="106" t="s">
        <v>109</v>
      </c>
      <c r="J19" s="98" t="s">
        <v>110</v>
      </c>
      <c r="K19" s="107"/>
      <c r="L19" s="98" t="s">
        <v>51</v>
      </c>
      <c r="M19" s="222" t="s">
        <v>173</v>
      </c>
      <c r="N19" s="107" t="s">
        <v>94</v>
      </c>
      <c r="O19" s="107" t="s">
        <v>33</v>
      </c>
      <c r="P19" s="134" t="s">
        <v>34</v>
      </c>
      <c r="Q19" s="211" t="s">
        <v>35</v>
      </c>
      <c r="R19" s="211" t="s">
        <v>125</v>
      </c>
      <c r="S19" s="85" t="s">
        <v>126</v>
      </c>
      <c r="T19" s="225"/>
      <c r="U19" s="134" t="s">
        <v>174</v>
      </c>
      <c r="V19" s="231"/>
    </row>
    <row r="20" ht="20.25" customHeight="1" spans="1:22">
      <c r="A20" s="89" t="s">
        <v>21</v>
      </c>
      <c r="B20" s="90" t="s">
        <v>175</v>
      </c>
      <c r="C20" s="39" t="s">
        <v>176</v>
      </c>
      <c r="D20" s="39" t="s">
        <v>177</v>
      </c>
      <c r="E20" s="37" t="s">
        <v>25</v>
      </c>
      <c r="F20" s="37" t="s">
        <v>178</v>
      </c>
      <c r="G20" s="37" t="s">
        <v>179</v>
      </c>
      <c r="H20" s="37" t="s">
        <v>62</v>
      </c>
      <c r="I20" s="215" t="s">
        <v>180</v>
      </c>
      <c r="J20" s="216" t="s">
        <v>181</v>
      </c>
      <c r="K20" s="107"/>
      <c r="L20" s="216" t="s">
        <v>93</v>
      </c>
      <c r="M20" s="223" t="s">
        <v>182</v>
      </c>
      <c r="N20" s="12" t="s">
        <v>183</v>
      </c>
      <c r="O20" s="12" t="s">
        <v>84</v>
      </c>
      <c r="P20" s="134" t="s">
        <v>34</v>
      </c>
      <c r="Q20" s="211" t="s">
        <v>35</v>
      </c>
      <c r="R20" s="211" t="s">
        <v>35</v>
      </c>
      <c r="S20" s="85" t="s">
        <v>69</v>
      </c>
      <c r="T20" s="225" t="s">
        <v>126</v>
      </c>
      <c r="U20" s="134" t="s">
        <v>184</v>
      </c>
      <c r="V20" s="231" t="s">
        <v>185</v>
      </c>
    </row>
    <row r="21" ht="20.25" customHeight="1" spans="1:22">
      <c r="A21" s="89" t="s">
        <v>21</v>
      </c>
      <c r="B21" s="90" t="s">
        <v>186</v>
      </c>
      <c r="C21" s="39" t="s">
        <v>187</v>
      </c>
      <c r="D21" s="39" t="s">
        <v>188</v>
      </c>
      <c r="E21" s="37" t="s">
        <v>25</v>
      </c>
      <c r="F21" s="106" t="s">
        <v>189</v>
      </c>
      <c r="G21" s="106" t="s">
        <v>190</v>
      </c>
      <c r="H21" s="106" t="s">
        <v>62</v>
      </c>
      <c r="I21" s="106" t="s">
        <v>180</v>
      </c>
      <c r="J21" s="98" t="s">
        <v>181</v>
      </c>
      <c r="K21" s="107"/>
      <c r="L21" s="98" t="s">
        <v>93</v>
      </c>
      <c r="M21" s="222" t="s">
        <v>191</v>
      </c>
      <c r="N21" s="12" t="s">
        <v>183</v>
      </c>
      <c r="O21" s="12" t="s">
        <v>84</v>
      </c>
      <c r="P21" s="134" t="s">
        <v>34</v>
      </c>
      <c r="Q21" s="120" t="s">
        <v>35</v>
      </c>
      <c r="R21" s="211" t="s">
        <v>125</v>
      </c>
      <c r="S21" s="85" t="s">
        <v>126</v>
      </c>
      <c r="T21" s="225" t="s">
        <v>126</v>
      </c>
      <c r="U21" s="134" t="s">
        <v>127</v>
      </c>
      <c r="V21" s="231"/>
    </row>
    <row r="22" ht="20.25" customHeight="1" spans="1:22">
      <c r="A22" s="89" t="s">
        <v>21</v>
      </c>
      <c r="B22" s="90" t="s">
        <v>192</v>
      </c>
      <c r="C22" s="39" t="s">
        <v>193</v>
      </c>
      <c r="D22" s="39" t="s">
        <v>194</v>
      </c>
      <c r="E22" s="37" t="s">
        <v>25</v>
      </c>
      <c r="F22" s="37" t="s">
        <v>195</v>
      </c>
      <c r="G22" s="37" t="s">
        <v>196</v>
      </c>
      <c r="H22" s="37" t="s">
        <v>80</v>
      </c>
      <c r="I22" s="106" t="s">
        <v>81</v>
      </c>
      <c r="J22" s="98" t="s">
        <v>82</v>
      </c>
      <c r="K22" s="107"/>
      <c r="L22" s="98" t="s">
        <v>65</v>
      </c>
      <c r="M22" s="222" t="s">
        <v>197</v>
      </c>
      <c r="N22" s="107" t="s">
        <v>83</v>
      </c>
      <c r="O22" s="12" t="s">
        <v>84</v>
      </c>
      <c r="P22" s="134" t="s">
        <v>34</v>
      </c>
      <c r="Q22" s="120" t="s">
        <v>35</v>
      </c>
      <c r="R22" s="211" t="s">
        <v>125</v>
      </c>
      <c r="S22" s="85" t="s">
        <v>126</v>
      </c>
      <c r="T22" s="225" t="s">
        <v>126</v>
      </c>
      <c r="U22" s="134" t="s">
        <v>127</v>
      </c>
      <c r="V22" s="231"/>
    </row>
    <row r="23" ht="20.25" customHeight="1" spans="1:22">
      <c r="A23" s="89" t="s">
        <v>21</v>
      </c>
      <c r="B23" s="90" t="s">
        <v>198</v>
      </c>
      <c r="C23" s="39" t="s">
        <v>199</v>
      </c>
      <c r="D23" s="39" t="s">
        <v>200</v>
      </c>
      <c r="E23" s="37" t="s">
        <v>25</v>
      </c>
      <c r="F23" s="37" t="s">
        <v>99</v>
      </c>
      <c r="G23" s="37" t="s">
        <v>100</v>
      </c>
      <c r="H23" s="37" t="s">
        <v>201</v>
      </c>
      <c r="I23" s="106" t="s">
        <v>81</v>
      </c>
      <c r="J23" s="98" t="s">
        <v>82</v>
      </c>
      <c r="K23" s="107"/>
      <c r="L23" s="98" t="s">
        <v>65</v>
      </c>
      <c r="M23" s="222" t="s">
        <v>202</v>
      </c>
      <c r="N23" s="107" t="s">
        <v>52</v>
      </c>
      <c r="O23" s="12" t="s">
        <v>102</v>
      </c>
      <c r="P23" s="134" t="s">
        <v>34</v>
      </c>
      <c r="Q23" s="211" t="s">
        <v>35</v>
      </c>
      <c r="R23" s="211" t="s">
        <v>125</v>
      </c>
      <c r="S23" s="85" t="s">
        <v>126</v>
      </c>
      <c r="T23" s="225" t="s">
        <v>126</v>
      </c>
      <c r="U23" s="134" t="s">
        <v>127</v>
      </c>
      <c r="V23" s="231"/>
    </row>
    <row r="24" ht="20.25" customHeight="1" spans="1:22">
      <c r="A24" s="89" t="s">
        <v>203</v>
      </c>
      <c r="B24" s="93" t="s">
        <v>204</v>
      </c>
      <c r="C24" s="12" t="s">
        <v>205</v>
      </c>
      <c r="D24" s="62" t="s">
        <v>206</v>
      </c>
      <c r="E24" s="34" t="s">
        <v>25</v>
      </c>
      <c r="F24" s="34"/>
      <c r="G24" s="211"/>
      <c r="H24" s="34"/>
      <c r="I24" s="109"/>
      <c r="J24" s="34"/>
      <c r="K24" s="107"/>
      <c r="L24" s="98" t="s">
        <v>207</v>
      </c>
      <c r="M24" s="37" t="s">
        <v>208</v>
      </c>
      <c r="N24" s="12" t="s">
        <v>183</v>
      </c>
      <c r="O24" s="12" t="s">
        <v>84</v>
      </c>
      <c r="P24" s="134" t="s">
        <v>34</v>
      </c>
      <c r="Q24" s="13" t="s">
        <v>35</v>
      </c>
      <c r="R24" s="13" t="s">
        <v>125</v>
      </c>
      <c r="S24" s="183" t="s">
        <v>126</v>
      </c>
      <c r="T24" s="225" t="s">
        <v>143</v>
      </c>
      <c r="U24" s="134" t="s">
        <v>127</v>
      </c>
      <c r="V24" s="228" t="s">
        <v>209</v>
      </c>
    </row>
    <row r="25" ht="20.25" customHeight="1" spans="1:22">
      <c r="A25" s="13" t="s">
        <v>210</v>
      </c>
      <c r="B25" s="93" t="s">
        <v>211</v>
      </c>
      <c r="C25" s="12" t="s">
        <v>212</v>
      </c>
      <c r="D25" s="62" t="s">
        <v>213</v>
      </c>
      <c r="E25" s="34" t="s">
        <v>25</v>
      </c>
      <c r="F25" s="34"/>
      <c r="G25" s="211"/>
      <c r="H25" s="34"/>
      <c r="I25" s="109"/>
      <c r="J25" s="34"/>
      <c r="K25" s="107"/>
      <c r="L25" s="98" t="s">
        <v>214</v>
      </c>
      <c r="M25" s="37" t="s">
        <v>215</v>
      </c>
      <c r="N25" s="12" t="s">
        <v>183</v>
      </c>
      <c r="O25" s="12" t="s">
        <v>84</v>
      </c>
      <c r="P25" s="134" t="s">
        <v>34</v>
      </c>
      <c r="Q25" s="211" t="s">
        <v>35</v>
      </c>
      <c r="R25" s="211" t="s">
        <v>125</v>
      </c>
      <c r="S25" s="85" t="s">
        <v>126</v>
      </c>
      <c r="T25" s="225" t="s">
        <v>126</v>
      </c>
      <c r="U25" s="134" t="s">
        <v>127</v>
      </c>
      <c r="V25" s="225"/>
    </row>
    <row r="26" ht="20.25" customHeight="1" spans="1:22">
      <c r="A26" s="13" t="s">
        <v>210</v>
      </c>
      <c r="B26" s="93" t="s">
        <v>211</v>
      </c>
      <c r="C26" s="12" t="s">
        <v>216</v>
      </c>
      <c r="D26" s="62" t="s">
        <v>213</v>
      </c>
      <c r="E26" s="34" t="s">
        <v>25</v>
      </c>
      <c r="F26" s="34"/>
      <c r="G26" s="211"/>
      <c r="H26" s="34"/>
      <c r="I26" s="109"/>
      <c r="J26" s="34"/>
      <c r="K26" s="107"/>
      <c r="L26" s="98" t="s">
        <v>214</v>
      </c>
      <c r="M26" s="37" t="s">
        <v>217</v>
      </c>
      <c r="N26" s="12" t="s">
        <v>183</v>
      </c>
      <c r="O26" s="12" t="s">
        <v>102</v>
      </c>
      <c r="P26" s="134" t="s">
        <v>34</v>
      </c>
      <c r="Q26" s="211" t="s">
        <v>35</v>
      </c>
      <c r="R26" s="211" t="s">
        <v>125</v>
      </c>
      <c r="S26" s="85" t="s">
        <v>126</v>
      </c>
      <c r="T26" s="225" t="s">
        <v>126</v>
      </c>
      <c r="U26" s="134" t="s">
        <v>127</v>
      </c>
      <c r="V26" s="225"/>
    </row>
    <row r="27" ht="20.25" customHeight="1" spans="1:22">
      <c r="A27" s="12" t="s">
        <v>218</v>
      </c>
      <c r="B27" s="93" t="s">
        <v>219</v>
      </c>
      <c r="C27" s="134" t="s">
        <v>220</v>
      </c>
      <c r="D27" s="62" t="s">
        <v>221</v>
      </c>
      <c r="E27" s="34" t="s">
        <v>25</v>
      </c>
      <c r="F27" s="211"/>
      <c r="G27" s="211"/>
      <c r="H27" s="211"/>
      <c r="I27" s="109"/>
      <c r="J27" s="34"/>
      <c r="K27" s="107"/>
      <c r="L27" s="217" t="s">
        <v>222</v>
      </c>
      <c r="M27" s="37" t="s">
        <v>223</v>
      </c>
      <c r="N27" s="107" t="s">
        <v>32</v>
      </c>
      <c r="O27" s="211" t="s">
        <v>224</v>
      </c>
      <c r="P27" s="134" t="s">
        <v>34</v>
      </c>
      <c r="Q27" s="107" t="s">
        <v>35</v>
      </c>
      <c r="R27" s="107" t="s">
        <v>35</v>
      </c>
      <c r="S27" s="107" t="s">
        <v>36</v>
      </c>
      <c r="T27" s="134" t="s">
        <v>56</v>
      </c>
      <c r="U27" s="134" t="s">
        <v>225</v>
      </c>
      <c r="V27" s="227" t="s">
        <v>38</v>
      </c>
    </row>
    <row r="28" s="201" customFormat="1" ht="26.65" customHeight="1" spans="1:23">
      <c r="A28" s="206" t="s">
        <v>44</v>
      </c>
      <c r="B28" s="207" t="s">
        <v>226</v>
      </c>
      <c r="C28" s="39" t="s">
        <v>227</v>
      </c>
      <c r="D28" s="39" t="s">
        <v>228</v>
      </c>
      <c r="E28" s="212" t="s">
        <v>47</v>
      </c>
      <c r="F28" s="37" t="s">
        <v>78</v>
      </c>
      <c r="G28" s="37" t="s">
        <v>140</v>
      </c>
      <c r="H28" s="37" t="s">
        <v>62</v>
      </c>
      <c r="I28" s="37" t="s">
        <v>122</v>
      </c>
      <c r="J28" s="37" t="s">
        <v>229</v>
      </c>
      <c r="K28" s="119"/>
      <c r="L28" s="98" t="s">
        <v>230</v>
      </c>
      <c r="M28" s="37" t="s">
        <v>31</v>
      </c>
      <c r="N28" s="80" t="s">
        <v>231</v>
      </c>
      <c r="O28" s="80" t="s">
        <v>84</v>
      </c>
      <c r="P28" s="224" t="s">
        <v>232</v>
      </c>
      <c r="Q28" s="120" t="s">
        <v>35</v>
      </c>
      <c r="R28" s="120" t="s">
        <v>35</v>
      </c>
      <c r="S28" s="120" t="s">
        <v>55</v>
      </c>
      <c r="T28" s="6" t="s">
        <v>95</v>
      </c>
      <c r="U28" s="6" t="s">
        <v>233</v>
      </c>
      <c r="V28" s="227" t="s">
        <v>38</v>
      </c>
      <c r="W28" s="1"/>
    </row>
    <row r="29" ht="19.75" customHeight="1" spans="1:22">
      <c r="A29" s="89" t="s">
        <v>21</v>
      </c>
      <c r="C29" s="34"/>
      <c r="D29" s="34"/>
      <c r="E29" s="211"/>
      <c r="F29" s="211"/>
      <c r="G29" s="211"/>
      <c r="H29" s="211"/>
      <c r="I29" s="109"/>
      <c r="J29" s="34"/>
      <c r="K29" s="107"/>
      <c r="L29" s="217"/>
      <c r="M29" s="34"/>
      <c r="N29" s="107"/>
      <c r="O29" s="107"/>
      <c r="P29" s="134"/>
      <c r="Q29" s="107"/>
      <c r="R29" s="107"/>
      <c r="S29" s="107"/>
      <c r="T29" s="134"/>
      <c r="U29" s="134"/>
      <c r="V29" s="231"/>
    </row>
    <row r="30" ht="26.1" customHeight="1" spans="1:22">
      <c r="A30" s="13"/>
      <c r="B30" s="208"/>
      <c r="C30" s="12"/>
      <c r="D30" s="37"/>
      <c r="E30" s="119"/>
      <c r="F30" s="13"/>
      <c r="G30" s="13"/>
      <c r="H30" s="13"/>
      <c r="I30" s="218"/>
      <c r="J30" s="98"/>
      <c r="K30" s="219"/>
      <c r="L30" s="17"/>
      <c r="M30" s="37"/>
      <c r="N30" s="12"/>
      <c r="O30" s="12"/>
      <c r="P30" s="6"/>
      <c r="Q30" s="13"/>
      <c r="R30" s="13"/>
      <c r="S30" s="13"/>
      <c r="T30" s="118"/>
      <c r="U30" s="6"/>
      <c r="V30" s="227"/>
    </row>
    <row r="31" ht="24.1" customHeight="1" spans="1:22">
      <c r="A31" s="12"/>
      <c r="B31" s="170"/>
      <c r="C31" s="107"/>
      <c r="D31" s="37"/>
      <c r="E31" s="119"/>
      <c r="F31" s="13"/>
      <c r="G31" s="13"/>
      <c r="H31" s="13"/>
      <c r="I31" s="218"/>
      <c r="J31" s="98"/>
      <c r="L31" s="17"/>
      <c r="M31" s="37"/>
      <c r="N31" s="12"/>
      <c r="O31" s="12"/>
      <c r="P31" s="6"/>
      <c r="Q31" s="13"/>
      <c r="R31" s="13"/>
      <c r="S31" s="13"/>
      <c r="T31" s="118"/>
      <c r="U31" s="6"/>
      <c r="V31" s="227"/>
    </row>
    <row r="32" ht="16.5" spans="1:22">
      <c r="A32" s="12"/>
      <c r="B32" s="170"/>
      <c r="C32" s="107"/>
      <c r="D32" s="37"/>
      <c r="E32" s="119"/>
      <c r="F32" s="13"/>
      <c r="G32" s="13"/>
      <c r="H32" s="13"/>
      <c r="I32" s="218"/>
      <c r="J32" s="98"/>
      <c r="K32" s="219"/>
      <c r="L32" s="17"/>
      <c r="M32" s="37"/>
      <c r="N32" s="12"/>
      <c r="O32" s="12"/>
      <c r="P32" s="6"/>
      <c r="Q32" s="13"/>
      <c r="R32" s="13"/>
      <c r="S32" s="13"/>
      <c r="T32" s="118"/>
      <c r="U32" s="6"/>
      <c r="V32" s="13"/>
    </row>
    <row r="33" ht="16.5" spans="1:22">
      <c r="A33" s="12"/>
      <c r="B33" s="170"/>
      <c r="C33" s="107"/>
      <c r="D33" s="37"/>
      <c r="E33" s="119"/>
      <c r="F33" s="13"/>
      <c r="G33" s="13"/>
      <c r="H33" s="13"/>
      <c r="I33" s="218"/>
      <c r="J33" s="98"/>
      <c r="K33" s="234"/>
      <c r="L33" s="17"/>
      <c r="M33" s="37"/>
      <c r="N33" s="12"/>
      <c r="O33" s="12"/>
      <c r="P33" s="6"/>
      <c r="Q33" s="13"/>
      <c r="R33" s="13"/>
      <c r="S33" s="13"/>
      <c r="T33" s="118"/>
      <c r="U33" s="6"/>
      <c r="V33" s="13"/>
    </row>
    <row r="34" ht="16.5" spans="1:22">
      <c r="A34" s="12"/>
      <c r="B34" s="232"/>
      <c r="C34" s="107"/>
      <c r="D34" s="37"/>
      <c r="E34" s="119"/>
      <c r="F34" s="13"/>
      <c r="G34" s="13"/>
      <c r="H34" s="13"/>
      <c r="I34" s="218"/>
      <c r="J34" s="98"/>
      <c r="K34" s="12"/>
      <c r="L34" s="98"/>
      <c r="M34" s="37"/>
      <c r="N34" s="12"/>
      <c r="O34" s="12"/>
      <c r="P34" s="6"/>
      <c r="Q34" s="13"/>
      <c r="R34" s="13"/>
      <c r="S34" s="13"/>
      <c r="T34" s="118"/>
      <c r="U34" s="13"/>
      <c r="V34" s="6"/>
    </row>
    <row r="35" ht="16.5" spans="1:22">
      <c r="A35" s="13"/>
      <c r="B35" s="232"/>
      <c r="C35" s="37"/>
      <c r="D35" s="37"/>
      <c r="E35" s="13"/>
      <c r="F35" s="13"/>
      <c r="G35" s="13"/>
      <c r="H35" s="13"/>
      <c r="I35" s="218"/>
      <c r="J35" s="98"/>
      <c r="K35" s="13"/>
      <c r="L35" s="98"/>
      <c r="M35" s="37"/>
      <c r="N35" s="13"/>
      <c r="O35" s="13"/>
      <c r="P35" s="118"/>
      <c r="Q35" s="13"/>
      <c r="R35" s="13"/>
      <c r="S35" s="13"/>
      <c r="T35" s="118"/>
      <c r="U35" s="13"/>
      <c r="V35" s="13"/>
    </row>
    <row r="36" ht="16.5" spans="1:22">
      <c r="A36" s="13"/>
      <c r="B36" s="13"/>
      <c r="C36" s="13"/>
      <c r="D36" s="13"/>
      <c r="E36" s="13"/>
      <c r="F36" s="13"/>
      <c r="G36" s="13"/>
      <c r="H36" s="13"/>
      <c r="I36" s="13"/>
      <c r="J36" s="13"/>
      <c r="K36" s="13"/>
      <c r="L36" s="17"/>
      <c r="M36" s="119"/>
      <c r="N36" s="13"/>
      <c r="O36" s="13"/>
      <c r="P36" s="118"/>
      <c r="Q36" s="13"/>
      <c r="R36" s="13"/>
      <c r="S36" s="13"/>
      <c r="T36" s="118"/>
      <c r="U36" s="13"/>
      <c r="V36" s="13"/>
    </row>
    <row r="37" s="202" customFormat="1" ht="16.5" spans="2:20">
      <c r="B37" s="233" t="s">
        <v>234</v>
      </c>
      <c r="L37" s="235"/>
      <c r="M37" s="236"/>
      <c r="P37" s="237"/>
      <c r="T37" s="237"/>
    </row>
    <row r="38" s="201" customFormat="1" ht="16.5" spans="1:23">
      <c r="A38" s="13" t="s">
        <v>235</v>
      </c>
      <c r="B38" s="170"/>
      <c r="C38" s="88" t="s">
        <v>236</v>
      </c>
      <c r="D38" s="99"/>
      <c r="E38" s="80" t="s">
        <v>25</v>
      </c>
      <c r="F38" s="13"/>
      <c r="G38" s="13"/>
      <c r="H38" s="13"/>
      <c r="I38" s="13"/>
      <c r="J38" s="120"/>
      <c r="K38" s="120"/>
      <c r="L38" s="17"/>
      <c r="M38" s="119"/>
      <c r="N38" s="120" t="s">
        <v>52</v>
      </c>
      <c r="O38" s="120" t="s">
        <v>102</v>
      </c>
      <c r="P38" s="8" t="s">
        <v>237</v>
      </c>
      <c r="Q38" s="13" t="s">
        <v>35</v>
      </c>
      <c r="R38" s="13" t="s">
        <v>35</v>
      </c>
      <c r="S38" s="13" t="s">
        <v>55</v>
      </c>
      <c r="T38" s="6"/>
      <c r="U38" s="12" t="s">
        <v>238</v>
      </c>
      <c r="V38" s="12"/>
      <c r="W38" s="1"/>
    </row>
    <row r="39" ht="16.5" spans="1:22">
      <c r="A39" s="13" t="s">
        <v>235</v>
      </c>
      <c r="B39" s="39"/>
      <c r="C39" s="120" t="s">
        <v>239</v>
      </c>
      <c r="D39" s="120"/>
      <c r="E39" s="37"/>
      <c r="F39" s="39"/>
      <c r="G39" s="98"/>
      <c r="H39" s="98"/>
      <c r="I39" s="39"/>
      <c r="J39" s="37"/>
      <c r="K39" s="37"/>
      <c r="L39" s="98"/>
      <c r="M39" s="37"/>
      <c r="N39" s="37" t="s">
        <v>94</v>
      </c>
      <c r="O39" s="88" t="s">
        <v>240</v>
      </c>
      <c r="P39" s="88" t="s">
        <v>34</v>
      </c>
      <c r="Q39" s="13" t="s">
        <v>35</v>
      </c>
      <c r="R39" s="13" t="s">
        <v>35</v>
      </c>
      <c r="S39" s="13" t="s">
        <v>55</v>
      </c>
      <c r="T39" s="118"/>
      <c r="U39" s="12" t="s">
        <v>241</v>
      </c>
      <c r="V39" s="135"/>
    </row>
    <row r="40" ht="33" spans="1:22">
      <c r="A40" s="13" t="s">
        <v>235</v>
      </c>
      <c r="B40" s="39"/>
      <c r="C40" s="37" t="s">
        <v>242</v>
      </c>
      <c r="D40" s="98"/>
      <c r="E40" s="37" t="s">
        <v>25</v>
      </c>
      <c r="F40" s="39"/>
      <c r="G40" s="98"/>
      <c r="H40" s="98"/>
      <c r="I40" s="39"/>
      <c r="J40" s="37"/>
      <c r="K40" s="37"/>
      <c r="L40" s="98"/>
      <c r="M40" s="37"/>
      <c r="N40" s="37" t="s">
        <v>243</v>
      </c>
      <c r="O40" s="37" t="s">
        <v>67</v>
      </c>
      <c r="P40" s="37"/>
      <c r="Q40" s="13" t="s">
        <v>35</v>
      </c>
      <c r="R40" s="13" t="s">
        <v>35</v>
      </c>
      <c r="S40" s="183" t="s">
        <v>55</v>
      </c>
      <c r="T40" s="190" t="s">
        <v>95</v>
      </c>
      <c r="U40" s="6" t="s">
        <v>244</v>
      </c>
      <c r="V40" s="135" t="s">
        <v>245</v>
      </c>
    </row>
    <row r="41" ht="16.5" spans="1:22">
      <c r="A41" s="13" t="s">
        <v>235</v>
      </c>
      <c r="B41" s="39"/>
      <c r="C41" s="120" t="s">
        <v>246</v>
      </c>
      <c r="D41" s="12"/>
      <c r="E41" s="37" t="s">
        <v>25</v>
      </c>
      <c r="F41" s="13"/>
      <c r="G41" s="13"/>
      <c r="H41" s="13"/>
      <c r="I41" s="13"/>
      <c r="J41" s="119"/>
      <c r="K41" s="120"/>
      <c r="L41" s="17"/>
      <c r="M41" s="119"/>
      <c r="N41" s="37" t="s">
        <v>243</v>
      </c>
      <c r="O41" s="37" t="s">
        <v>67</v>
      </c>
      <c r="P41" s="37"/>
      <c r="Q41" s="13" t="s">
        <v>35</v>
      </c>
      <c r="R41" s="13" t="s">
        <v>35</v>
      </c>
      <c r="S41" s="183" t="s">
        <v>36</v>
      </c>
      <c r="T41" s="190" t="s">
        <v>56</v>
      </c>
      <c r="U41" s="12" t="s">
        <v>247</v>
      </c>
      <c r="V41" s="12" t="s">
        <v>248</v>
      </c>
    </row>
    <row r="42" s="201" customFormat="1" ht="49.5" spans="1:23">
      <c r="A42" s="13" t="s">
        <v>235</v>
      </c>
      <c r="B42" s="232"/>
      <c r="C42" s="107" t="s">
        <v>249</v>
      </c>
      <c r="D42" s="37"/>
      <c r="E42" s="119" t="s">
        <v>25</v>
      </c>
      <c r="F42" s="13"/>
      <c r="G42" s="13"/>
      <c r="H42" s="13"/>
      <c r="I42" s="218"/>
      <c r="J42" s="98"/>
      <c r="K42" s="12"/>
      <c r="L42" s="37" t="s">
        <v>65</v>
      </c>
      <c r="M42" s="39"/>
      <c r="N42" s="12" t="s">
        <v>83</v>
      </c>
      <c r="O42" s="12" t="s">
        <v>84</v>
      </c>
      <c r="P42" s="6" t="s">
        <v>250</v>
      </c>
      <c r="Q42" s="13" t="s">
        <v>35</v>
      </c>
      <c r="R42" s="13" t="s">
        <v>35</v>
      </c>
      <c r="S42" s="13" t="s">
        <v>69</v>
      </c>
      <c r="T42" s="118" t="s">
        <v>143</v>
      </c>
      <c r="U42" s="6" t="s">
        <v>251</v>
      </c>
      <c r="V42" s="6"/>
      <c r="W42" s="1"/>
    </row>
    <row r="43" ht="16.5" spans="1:22">
      <c r="A43" s="13" t="s">
        <v>235</v>
      </c>
      <c r="B43" s="39"/>
      <c r="C43" s="80" t="s">
        <v>252</v>
      </c>
      <c r="D43" s="171"/>
      <c r="E43" s="37"/>
      <c r="F43" s="13"/>
      <c r="G43" s="13"/>
      <c r="H43" s="13"/>
      <c r="I43" s="13"/>
      <c r="J43" s="119"/>
      <c r="K43" s="120"/>
      <c r="L43" s="17"/>
      <c r="M43" s="119"/>
      <c r="N43" s="12" t="s">
        <v>83</v>
      </c>
      <c r="O43" s="12" t="s">
        <v>84</v>
      </c>
      <c r="P43" s="6"/>
      <c r="Q43" s="13" t="s">
        <v>35</v>
      </c>
      <c r="R43" s="13" t="s">
        <v>35</v>
      </c>
      <c r="S43" s="13" t="s">
        <v>55</v>
      </c>
      <c r="T43" s="6" t="s">
        <v>95</v>
      </c>
      <c r="U43" s="12" t="s">
        <v>253</v>
      </c>
      <c r="V43" s="12"/>
    </row>
    <row r="44" ht="16.5" spans="1:22">
      <c r="A44" s="13" t="s">
        <v>235</v>
      </c>
      <c r="B44" s="39"/>
      <c r="C44" s="80" t="s">
        <v>254</v>
      </c>
      <c r="D44" s="171"/>
      <c r="E44" s="119" t="s">
        <v>25</v>
      </c>
      <c r="F44" s="13"/>
      <c r="G44" s="13"/>
      <c r="H44" s="13"/>
      <c r="I44" s="12" t="s">
        <v>255</v>
      </c>
      <c r="J44" s="120" t="s">
        <v>256</v>
      </c>
      <c r="K44" s="120"/>
      <c r="L44" s="16" t="s">
        <v>224</v>
      </c>
      <c r="M44" s="119"/>
      <c r="N44" s="120" t="s">
        <v>224</v>
      </c>
      <c r="O44" s="120" t="s">
        <v>224</v>
      </c>
      <c r="P44" s="6"/>
      <c r="Q44" s="13" t="s">
        <v>35</v>
      </c>
      <c r="R44" s="13" t="s">
        <v>125</v>
      </c>
      <c r="S44" s="183" t="s">
        <v>36</v>
      </c>
      <c r="T44" s="190" t="s">
        <v>56</v>
      </c>
      <c r="U44" s="12"/>
      <c r="V44" s="12"/>
    </row>
    <row r="45" ht="16.5" spans="1:22">
      <c r="A45" s="13" t="s">
        <v>235</v>
      </c>
      <c r="B45" s="39"/>
      <c r="C45" s="80" t="s">
        <v>257</v>
      </c>
      <c r="D45" s="171"/>
      <c r="E45" s="119" t="s">
        <v>25</v>
      </c>
      <c r="F45" s="13"/>
      <c r="G45" s="13"/>
      <c r="H45" s="13"/>
      <c r="I45" s="12" t="s">
        <v>255</v>
      </c>
      <c r="J45" s="120" t="s">
        <v>256</v>
      </c>
      <c r="K45" s="120"/>
      <c r="L45" s="16" t="s">
        <v>224</v>
      </c>
      <c r="M45" s="119"/>
      <c r="N45" s="120" t="s">
        <v>224</v>
      </c>
      <c r="O45" s="120" t="s">
        <v>224</v>
      </c>
      <c r="P45" s="6"/>
      <c r="Q45" s="13" t="s">
        <v>35</v>
      </c>
      <c r="R45" s="13" t="s">
        <v>258</v>
      </c>
      <c r="S45" s="183" t="s">
        <v>55</v>
      </c>
      <c r="T45" s="190" t="s">
        <v>95</v>
      </c>
      <c r="U45" s="12"/>
      <c r="V45" s="12"/>
    </row>
    <row r="46" ht="33" spans="1:22">
      <c r="A46" s="13" t="s">
        <v>235</v>
      </c>
      <c r="B46" s="12"/>
      <c r="C46" s="224" t="s">
        <v>259</v>
      </c>
      <c r="D46" s="190"/>
      <c r="E46" s="119" t="s">
        <v>25</v>
      </c>
      <c r="F46" s="13"/>
      <c r="G46" s="13"/>
      <c r="H46" s="13"/>
      <c r="I46" s="13"/>
      <c r="J46" s="119"/>
      <c r="K46" s="120"/>
      <c r="L46" s="17"/>
      <c r="M46" s="119"/>
      <c r="N46" s="120" t="s">
        <v>83</v>
      </c>
      <c r="O46" s="120" t="s">
        <v>260</v>
      </c>
      <c r="P46" s="6"/>
      <c r="Q46" s="13" t="s">
        <v>35</v>
      </c>
      <c r="R46" s="13" t="s">
        <v>35</v>
      </c>
      <c r="S46" s="13" t="s">
        <v>55</v>
      </c>
      <c r="T46" s="6"/>
      <c r="U46" s="12" t="s">
        <v>261</v>
      </c>
      <c r="V46" s="12" t="s">
        <v>262</v>
      </c>
    </row>
    <row r="47" ht="16.5" spans="1:22">
      <c r="A47" s="13" t="s">
        <v>235</v>
      </c>
      <c r="B47" s="170"/>
      <c r="C47" s="88" t="s">
        <v>263</v>
      </c>
      <c r="D47" s="99"/>
      <c r="E47" s="119" t="s">
        <v>25</v>
      </c>
      <c r="F47" s="13"/>
      <c r="G47" s="13"/>
      <c r="H47" s="13"/>
      <c r="I47" s="13"/>
      <c r="J47" s="120"/>
      <c r="K47" s="120"/>
      <c r="L47" s="17"/>
      <c r="M47" s="119"/>
      <c r="N47" s="120" t="s">
        <v>83</v>
      </c>
      <c r="O47" s="120" t="s">
        <v>260</v>
      </c>
      <c r="P47" s="6"/>
      <c r="Q47" s="13" t="s">
        <v>35</v>
      </c>
      <c r="R47" s="13" t="s">
        <v>35</v>
      </c>
      <c r="S47" s="13" t="s">
        <v>55</v>
      </c>
      <c r="T47" s="6"/>
      <c r="U47" s="12" t="s">
        <v>261</v>
      </c>
      <c r="V47" s="12" t="s">
        <v>264</v>
      </c>
    </row>
    <row r="48" ht="16.5" spans="1:22">
      <c r="A48" s="13" t="s">
        <v>235</v>
      </c>
      <c r="B48" s="232"/>
      <c r="C48" s="107" t="s">
        <v>265</v>
      </c>
      <c r="D48" s="37"/>
      <c r="E48" s="119" t="s">
        <v>25</v>
      </c>
      <c r="F48" s="13"/>
      <c r="G48" s="13"/>
      <c r="H48" s="13"/>
      <c r="I48" s="12" t="s">
        <v>255</v>
      </c>
      <c r="J48" s="120" t="s">
        <v>256</v>
      </c>
      <c r="K48" s="12"/>
      <c r="L48" s="98" t="s">
        <v>266</v>
      </c>
      <c r="M48" s="37"/>
      <c r="N48" s="12" t="s">
        <v>266</v>
      </c>
      <c r="O48" s="12" t="s">
        <v>224</v>
      </c>
      <c r="P48" s="6"/>
      <c r="Q48" s="13" t="s">
        <v>35</v>
      </c>
      <c r="R48" s="12" t="s">
        <v>258</v>
      </c>
      <c r="S48" s="13" t="s">
        <v>36</v>
      </c>
      <c r="T48" s="118"/>
      <c r="U48" s="12" t="s">
        <v>267</v>
      </c>
      <c r="V48" s="6"/>
    </row>
    <row r="49" ht="16.5" spans="1:22">
      <c r="A49" s="13" t="s">
        <v>235</v>
      </c>
      <c r="B49" s="170"/>
      <c r="C49" s="120" t="s">
        <v>268</v>
      </c>
      <c r="D49" s="171"/>
      <c r="E49" s="119" t="s">
        <v>25</v>
      </c>
      <c r="F49" s="13"/>
      <c r="G49" s="13"/>
      <c r="H49" s="13"/>
      <c r="I49" s="12" t="s">
        <v>255</v>
      </c>
      <c r="J49" s="120" t="s">
        <v>256</v>
      </c>
      <c r="K49" s="120"/>
      <c r="L49" s="98" t="s">
        <v>266</v>
      </c>
      <c r="M49" s="37"/>
      <c r="N49" s="12" t="s">
        <v>266</v>
      </c>
      <c r="O49" s="12" t="s">
        <v>224</v>
      </c>
      <c r="P49" s="6"/>
      <c r="Q49" s="13" t="s">
        <v>35</v>
      </c>
      <c r="R49" s="12" t="s">
        <v>35</v>
      </c>
      <c r="S49" s="13" t="s">
        <v>55</v>
      </c>
      <c r="T49" s="118"/>
      <c r="U49" s="12" t="s">
        <v>269</v>
      </c>
      <c r="V49" s="12" t="s">
        <v>270</v>
      </c>
    </row>
    <row r="50" ht="16.5" spans="1:22">
      <c r="A50" s="13" t="s">
        <v>235</v>
      </c>
      <c r="B50" s="13"/>
      <c r="C50" s="120" t="s">
        <v>271</v>
      </c>
      <c r="D50" s="13"/>
      <c r="E50" s="119" t="s">
        <v>25</v>
      </c>
      <c r="F50" s="13"/>
      <c r="G50" s="13"/>
      <c r="H50" s="13"/>
      <c r="I50" s="12" t="s">
        <v>255</v>
      </c>
      <c r="J50" s="120" t="s">
        <v>256</v>
      </c>
      <c r="K50" s="119"/>
      <c r="L50" s="98" t="s">
        <v>266</v>
      </c>
      <c r="M50" s="37"/>
      <c r="N50" s="12" t="s">
        <v>266</v>
      </c>
      <c r="O50" s="12" t="s">
        <v>224</v>
      </c>
      <c r="P50" s="6"/>
      <c r="Q50" s="13" t="s">
        <v>35</v>
      </c>
      <c r="R50" s="12" t="s">
        <v>35</v>
      </c>
      <c r="S50" s="183" t="s">
        <v>55</v>
      </c>
      <c r="T50" s="190"/>
      <c r="U50" s="12" t="s">
        <v>272</v>
      </c>
      <c r="V50" s="12" t="s">
        <v>273</v>
      </c>
    </row>
    <row r="51" ht="16.5" spans="1:22">
      <c r="A51" s="13" t="s">
        <v>235</v>
      </c>
      <c r="B51" s="170"/>
      <c r="C51" s="120" t="s">
        <v>274</v>
      </c>
      <c r="D51" s="171"/>
      <c r="E51" s="119" t="s">
        <v>25</v>
      </c>
      <c r="F51" s="13"/>
      <c r="G51" s="13"/>
      <c r="H51" s="13"/>
      <c r="I51" s="12" t="s">
        <v>255</v>
      </c>
      <c r="J51" s="120" t="s">
        <v>256</v>
      </c>
      <c r="K51" s="120"/>
      <c r="L51" s="98" t="s">
        <v>266</v>
      </c>
      <c r="M51" s="37"/>
      <c r="N51" s="12" t="s">
        <v>266</v>
      </c>
      <c r="O51" s="120" t="s">
        <v>260</v>
      </c>
      <c r="P51" s="6"/>
      <c r="Q51" s="13" t="s">
        <v>35</v>
      </c>
      <c r="R51" s="12" t="s">
        <v>258</v>
      </c>
      <c r="S51" s="13" t="s">
        <v>36</v>
      </c>
      <c r="T51" s="6"/>
      <c r="U51" s="12" t="s">
        <v>267</v>
      </c>
      <c r="V51" s="12" t="s">
        <v>275</v>
      </c>
    </row>
    <row r="52" ht="16.5" spans="1:22">
      <c r="A52" s="13" t="s">
        <v>235</v>
      </c>
      <c r="B52" s="170" t="s">
        <v>276</v>
      </c>
      <c r="C52" s="120" t="s">
        <v>277</v>
      </c>
      <c r="D52" s="171"/>
      <c r="E52" s="119" t="s">
        <v>25</v>
      </c>
      <c r="F52" s="13"/>
      <c r="G52" s="13"/>
      <c r="H52" s="13"/>
      <c r="I52" s="12" t="s">
        <v>255</v>
      </c>
      <c r="J52" s="120" t="s">
        <v>278</v>
      </c>
      <c r="K52" s="120"/>
      <c r="L52" s="16" t="s">
        <v>243</v>
      </c>
      <c r="M52" s="119"/>
      <c r="N52" s="120" t="s">
        <v>243</v>
      </c>
      <c r="O52" s="120" t="s">
        <v>116</v>
      </c>
      <c r="P52" s="37" t="s">
        <v>279</v>
      </c>
      <c r="Q52" s="13" t="s">
        <v>35</v>
      </c>
      <c r="R52" s="12" t="s">
        <v>258</v>
      </c>
      <c r="S52" s="120"/>
      <c r="T52" s="6"/>
      <c r="U52" s="12" t="s">
        <v>280</v>
      </c>
      <c r="V52" s="12" t="s">
        <v>281</v>
      </c>
    </row>
    <row r="53" ht="16.5" spans="1:22">
      <c r="A53" s="13" t="s">
        <v>235</v>
      </c>
      <c r="B53" s="170"/>
      <c r="C53" s="120" t="s">
        <v>282</v>
      </c>
      <c r="D53" s="171"/>
      <c r="E53" s="99"/>
      <c r="F53" s="13"/>
      <c r="G53" s="13"/>
      <c r="H53" s="13"/>
      <c r="I53" s="13"/>
      <c r="J53" s="120"/>
      <c r="K53" s="120"/>
      <c r="L53" s="17"/>
      <c r="M53" s="119"/>
      <c r="N53" s="120" t="s">
        <v>94</v>
      </c>
      <c r="O53" s="120" t="s">
        <v>33</v>
      </c>
      <c r="P53" s="6"/>
      <c r="Q53" s="13" t="s">
        <v>35</v>
      </c>
      <c r="R53" s="12" t="s">
        <v>35</v>
      </c>
      <c r="S53" s="120" t="s">
        <v>55</v>
      </c>
      <c r="T53" s="6"/>
      <c r="U53" s="12" t="s">
        <v>283</v>
      </c>
      <c r="V53" s="12"/>
    </row>
    <row r="54" ht="16.5" spans="1:22">
      <c r="A54" s="13"/>
      <c r="B54" s="12"/>
      <c r="C54" s="120"/>
      <c r="D54" s="12"/>
      <c r="E54" s="12"/>
      <c r="F54" s="13"/>
      <c r="G54" s="13"/>
      <c r="H54" s="13"/>
      <c r="I54" s="13"/>
      <c r="J54" s="119"/>
      <c r="K54" s="120"/>
      <c r="L54" s="17"/>
      <c r="M54" s="119"/>
      <c r="N54" s="120"/>
      <c r="O54" s="120"/>
      <c r="P54" s="8"/>
      <c r="Q54" s="120"/>
      <c r="R54" s="120"/>
      <c r="S54" s="120"/>
      <c r="T54" s="6"/>
      <c r="U54" s="13"/>
      <c r="V54" s="12"/>
    </row>
    <row r="55" ht="16.5" spans="1:22">
      <c r="A55" s="13"/>
      <c r="B55" s="170"/>
      <c r="C55" s="120"/>
      <c r="D55" s="12"/>
      <c r="E55" s="12"/>
      <c r="F55" s="13"/>
      <c r="G55" s="13"/>
      <c r="H55" s="13"/>
      <c r="I55" s="13"/>
      <c r="J55" s="12"/>
      <c r="K55" s="12"/>
      <c r="L55" s="17"/>
      <c r="M55" s="119"/>
      <c r="N55" s="13"/>
      <c r="O55" s="12"/>
      <c r="P55" s="6"/>
      <c r="Q55" s="13"/>
      <c r="R55" s="13"/>
      <c r="S55" s="13"/>
      <c r="T55" s="6"/>
      <c r="U55" s="13"/>
      <c r="V55" s="12"/>
    </row>
    <row r="56" ht="16.5" spans="1:22">
      <c r="A56" s="13"/>
      <c r="B56" s="12"/>
      <c r="C56" s="12"/>
      <c r="D56" s="12"/>
      <c r="E56" s="12"/>
      <c r="F56" s="13"/>
      <c r="G56" s="13"/>
      <c r="H56" s="13"/>
      <c r="I56" s="13"/>
      <c r="J56" s="13"/>
      <c r="K56" s="12"/>
      <c r="L56" s="17"/>
      <c r="M56" s="119"/>
      <c r="N56" s="12"/>
      <c r="O56" s="12"/>
      <c r="P56" s="6"/>
      <c r="Q56" s="12"/>
      <c r="R56" s="12"/>
      <c r="S56" s="12"/>
      <c r="T56" s="6"/>
      <c r="U56" s="13"/>
      <c r="V56" s="12"/>
    </row>
    <row r="57" ht="16.5" spans="1:22">
      <c r="A57" s="13"/>
      <c r="B57" s="13"/>
      <c r="C57" s="13"/>
      <c r="D57" s="13"/>
      <c r="E57" s="13"/>
      <c r="F57" s="13"/>
      <c r="G57" s="13"/>
      <c r="H57" s="13"/>
      <c r="I57" s="13"/>
      <c r="J57" s="13"/>
      <c r="K57" s="13"/>
      <c r="L57" s="17"/>
      <c r="M57" s="119"/>
      <c r="N57" s="13"/>
      <c r="O57" s="13"/>
      <c r="P57" s="118"/>
      <c r="Q57" s="13"/>
      <c r="R57" s="13"/>
      <c r="S57" s="13"/>
      <c r="T57" s="118"/>
      <c r="U57" s="13"/>
      <c r="V57" s="13"/>
    </row>
    <row r="58" ht="16.5" spans="1:22">
      <c r="A58" s="13"/>
      <c r="B58" s="13"/>
      <c r="C58" s="13"/>
      <c r="D58" s="13"/>
      <c r="E58" s="13"/>
      <c r="F58" s="13"/>
      <c r="G58" s="13"/>
      <c r="H58" s="13"/>
      <c r="I58" s="13"/>
      <c r="J58" s="13"/>
      <c r="K58" s="13"/>
      <c r="L58" s="17"/>
      <c r="M58" s="119"/>
      <c r="N58" s="13"/>
      <c r="O58" s="13"/>
      <c r="P58" s="118"/>
      <c r="Q58" s="13"/>
      <c r="R58" s="13"/>
      <c r="S58" s="13"/>
      <c r="T58" s="118"/>
      <c r="U58" s="13"/>
      <c r="V58" s="13"/>
    </row>
    <row r="59" ht="16.5" spans="1:22">
      <c r="A59" s="13"/>
      <c r="B59" s="13"/>
      <c r="C59" s="13"/>
      <c r="D59" s="13"/>
      <c r="E59" s="13"/>
      <c r="F59" s="13"/>
      <c r="G59" s="13"/>
      <c r="H59" s="13"/>
      <c r="I59" s="13"/>
      <c r="J59" s="13"/>
      <c r="K59" s="13"/>
      <c r="L59" s="17"/>
      <c r="M59" s="119"/>
      <c r="N59" s="13"/>
      <c r="O59" s="13"/>
      <c r="P59" s="118"/>
      <c r="Q59" s="13"/>
      <c r="R59" s="13"/>
      <c r="S59" s="13"/>
      <c r="T59" s="118"/>
      <c r="U59" s="13"/>
      <c r="V59" s="13"/>
    </row>
    <row r="60" ht="16.5" spans="1:22">
      <c r="A60" s="13"/>
      <c r="B60" s="13"/>
      <c r="C60" s="13"/>
      <c r="D60" s="13"/>
      <c r="E60" s="13"/>
      <c r="F60" s="13"/>
      <c r="G60" s="13"/>
      <c r="H60" s="13"/>
      <c r="I60" s="13"/>
      <c r="J60" s="13"/>
      <c r="K60" s="13"/>
      <c r="L60" s="17"/>
      <c r="M60" s="119"/>
      <c r="N60" s="13"/>
      <c r="O60" s="13"/>
      <c r="P60" s="118"/>
      <c r="Q60" s="13"/>
      <c r="R60" s="13"/>
      <c r="S60" s="13"/>
      <c r="T60" s="118"/>
      <c r="U60" s="13"/>
      <c r="V60" s="13"/>
    </row>
    <row r="61" ht="16.5" spans="1:22">
      <c r="A61" s="13"/>
      <c r="B61" s="13"/>
      <c r="C61" s="13"/>
      <c r="D61" s="13"/>
      <c r="E61" s="13"/>
      <c r="F61" s="13"/>
      <c r="G61" s="13"/>
      <c r="H61" s="13"/>
      <c r="I61" s="13"/>
      <c r="J61" s="13"/>
      <c r="K61" s="13"/>
      <c r="L61" s="17"/>
      <c r="M61" s="119"/>
      <c r="N61" s="13"/>
      <c r="O61" s="13"/>
      <c r="P61" s="118"/>
      <c r="Q61" s="13"/>
      <c r="R61" s="13"/>
      <c r="S61" s="13"/>
      <c r="T61" s="118"/>
      <c r="U61" s="13"/>
      <c r="V61" s="13"/>
    </row>
    <row r="62" ht="16.5" spans="1:22">
      <c r="A62" s="13"/>
      <c r="B62" s="13"/>
      <c r="C62" s="13"/>
      <c r="D62" s="13"/>
      <c r="E62" s="13"/>
      <c r="F62" s="13"/>
      <c r="G62" s="13"/>
      <c r="H62" s="13"/>
      <c r="I62" s="13"/>
      <c r="J62" s="13"/>
      <c r="K62" s="13"/>
      <c r="L62" s="17"/>
      <c r="M62" s="119"/>
      <c r="N62" s="13"/>
      <c r="O62" s="13"/>
      <c r="P62" s="118"/>
      <c r="Q62" s="13"/>
      <c r="R62" s="13"/>
      <c r="S62" s="13"/>
      <c r="T62" s="118"/>
      <c r="U62" s="13"/>
      <c r="V62" s="13"/>
    </row>
    <row r="63" ht="16.5" spans="1:22">
      <c r="A63" s="13"/>
      <c r="B63" s="13"/>
      <c r="C63" s="13"/>
      <c r="D63" s="13"/>
      <c r="E63" s="13"/>
      <c r="F63" s="13"/>
      <c r="G63" s="13"/>
      <c r="H63" s="13"/>
      <c r="I63" s="13"/>
      <c r="J63" s="13"/>
      <c r="K63" s="13"/>
      <c r="L63" s="17"/>
      <c r="M63" s="119"/>
      <c r="N63" s="13"/>
      <c r="O63" s="13"/>
      <c r="P63" s="118"/>
      <c r="Q63" s="13"/>
      <c r="R63" s="13"/>
      <c r="S63" s="13"/>
      <c r="T63" s="118"/>
      <c r="U63" s="13"/>
      <c r="V63" s="13"/>
    </row>
    <row r="64" ht="16.5" spans="1:22">
      <c r="A64" s="13"/>
      <c r="B64" s="13"/>
      <c r="C64" s="13"/>
      <c r="D64" s="13"/>
      <c r="E64" s="13"/>
      <c r="F64" s="13"/>
      <c r="G64" s="13"/>
      <c r="H64" s="13"/>
      <c r="I64" s="13"/>
      <c r="J64" s="13"/>
      <c r="K64" s="13"/>
      <c r="L64" s="17"/>
      <c r="M64" s="119"/>
      <c r="N64" s="13"/>
      <c r="O64" s="13"/>
      <c r="P64" s="118"/>
      <c r="Q64" s="13"/>
      <c r="R64" s="13"/>
      <c r="S64" s="13"/>
      <c r="T64" s="118"/>
      <c r="U64" s="13"/>
      <c r="V64" s="13"/>
    </row>
    <row r="65" ht="16.5" spans="1:22">
      <c r="A65" s="13"/>
      <c r="B65" s="13"/>
      <c r="C65" s="13"/>
      <c r="D65" s="13"/>
      <c r="E65" s="13"/>
      <c r="F65" s="13"/>
      <c r="G65" s="13"/>
      <c r="H65" s="13"/>
      <c r="I65" s="13"/>
      <c r="J65" s="13"/>
      <c r="K65" s="13"/>
      <c r="L65" s="17"/>
      <c r="M65" s="119"/>
      <c r="N65" s="13"/>
      <c r="O65" s="13"/>
      <c r="P65" s="118"/>
      <c r="Q65" s="13"/>
      <c r="R65" s="13"/>
      <c r="S65" s="13"/>
      <c r="T65" s="118"/>
      <c r="U65" s="13"/>
      <c r="V65" s="13"/>
    </row>
    <row r="66" ht="16.5" spans="1:22">
      <c r="A66" s="13"/>
      <c r="B66" s="13"/>
      <c r="C66" s="13"/>
      <c r="D66" s="13"/>
      <c r="E66" s="13"/>
      <c r="F66" s="13"/>
      <c r="G66" s="13"/>
      <c r="H66" s="13"/>
      <c r="I66" s="13"/>
      <c r="J66" s="13"/>
      <c r="K66" s="13"/>
      <c r="L66" s="17"/>
      <c r="M66" s="119"/>
      <c r="N66" s="13"/>
      <c r="O66" s="13"/>
      <c r="P66" s="118"/>
      <c r="Q66" s="13"/>
      <c r="R66" s="13"/>
      <c r="S66" s="13"/>
      <c r="T66" s="118"/>
      <c r="U66" s="13"/>
      <c r="V66" s="13"/>
    </row>
    <row r="67" ht="16.5" spans="1:22">
      <c r="A67" s="13"/>
      <c r="B67" s="13"/>
      <c r="C67" s="13"/>
      <c r="D67" s="13"/>
      <c r="E67" s="13"/>
      <c r="F67" s="13"/>
      <c r="G67" s="13"/>
      <c r="H67" s="13"/>
      <c r="I67" s="13"/>
      <c r="J67" s="13"/>
      <c r="K67" s="13"/>
      <c r="L67" s="17"/>
      <c r="M67" s="119"/>
      <c r="N67" s="13"/>
      <c r="O67" s="13"/>
      <c r="P67" s="118"/>
      <c r="Q67" s="13"/>
      <c r="R67" s="13"/>
      <c r="S67" s="13"/>
      <c r="T67" s="118"/>
      <c r="U67" s="13"/>
      <c r="V67" s="13"/>
    </row>
    <row r="68" ht="16.5" spans="1:22">
      <c r="A68" s="13"/>
      <c r="B68" s="13"/>
      <c r="C68" s="13"/>
      <c r="D68" s="13"/>
      <c r="E68" s="13"/>
      <c r="F68" s="13"/>
      <c r="G68" s="13"/>
      <c r="H68" s="13"/>
      <c r="I68" s="13"/>
      <c r="J68" s="13"/>
      <c r="K68" s="13"/>
      <c r="L68" s="17"/>
      <c r="M68" s="119"/>
      <c r="N68" s="13"/>
      <c r="O68" s="13"/>
      <c r="P68" s="118"/>
      <c r="Q68" s="13"/>
      <c r="R68" s="13"/>
      <c r="S68" s="13"/>
      <c r="T68" s="118"/>
      <c r="U68" s="13"/>
      <c r="V68" s="13"/>
    </row>
    <row r="69" ht="16.5" spans="1:22">
      <c r="A69" s="13"/>
      <c r="B69" s="13"/>
      <c r="C69" s="13"/>
      <c r="D69" s="13"/>
      <c r="E69" s="13"/>
      <c r="F69" s="13"/>
      <c r="G69" s="13"/>
      <c r="H69" s="13"/>
      <c r="I69" s="13"/>
      <c r="J69" s="13"/>
      <c r="K69" s="13"/>
      <c r="L69" s="17"/>
      <c r="M69" s="119"/>
      <c r="N69" s="13"/>
      <c r="O69" s="13"/>
      <c r="P69" s="118"/>
      <c r="Q69" s="13"/>
      <c r="R69" s="13"/>
      <c r="S69" s="13"/>
      <c r="T69" s="118"/>
      <c r="U69" s="13"/>
      <c r="V69" s="13"/>
    </row>
    <row r="70" ht="16.5" spans="1:22">
      <c r="A70" s="13"/>
      <c r="B70" s="13"/>
      <c r="C70" s="13"/>
      <c r="D70" s="13"/>
      <c r="E70" s="13"/>
      <c r="F70" s="13"/>
      <c r="G70" s="13"/>
      <c r="H70" s="13"/>
      <c r="I70" s="13"/>
      <c r="J70" s="13"/>
      <c r="K70" s="13"/>
      <c r="L70" s="17"/>
      <c r="M70" s="119"/>
      <c r="N70" s="13"/>
      <c r="O70" s="13"/>
      <c r="P70" s="118"/>
      <c r="Q70" s="13"/>
      <c r="R70" s="13"/>
      <c r="S70" s="13"/>
      <c r="T70" s="118"/>
      <c r="U70" s="13"/>
      <c r="V70" s="13"/>
    </row>
    <row r="71" ht="16.5" spans="1:22">
      <c r="A71" s="13"/>
      <c r="B71" s="13"/>
      <c r="C71" s="13"/>
      <c r="D71" s="13"/>
      <c r="E71" s="13"/>
      <c r="F71" s="13"/>
      <c r="G71" s="13"/>
      <c r="H71" s="13"/>
      <c r="I71" s="13"/>
      <c r="J71" s="13"/>
      <c r="K71" s="13"/>
      <c r="L71" s="17"/>
      <c r="M71" s="119"/>
      <c r="N71" s="13"/>
      <c r="O71" s="13"/>
      <c r="P71" s="118"/>
      <c r="Q71" s="13"/>
      <c r="R71" s="13"/>
      <c r="S71" s="13"/>
      <c r="T71" s="118"/>
      <c r="U71" s="13"/>
      <c r="V71" s="13"/>
    </row>
    <row r="72" ht="16.5" spans="1:22">
      <c r="A72" s="13"/>
      <c r="B72" s="13"/>
      <c r="C72" s="13"/>
      <c r="D72" s="13"/>
      <c r="E72" s="13"/>
      <c r="F72" s="13"/>
      <c r="G72" s="13"/>
      <c r="H72" s="13"/>
      <c r="I72" s="13"/>
      <c r="J72" s="13"/>
      <c r="K72" s="13"/>
      <c r="L72" s="17"/>
      <c r="M72" s="119"/>
      <c r="N72" s="13"/>
      <c r="O72" s="13"/>
      <c r="P72" s="118"/>
      <c r="Q72" s="13"/>
      <c r="R72" s="13"/>
      <c r="S72" s="13"/>
      <c r="T72" s="118"/>
      <c r="U72" s="13"/>
      <c r="V72" s="13"/>
    </row>
    <row r="73" ht="16.5" spans="1:22">
      <c r="A73" s="13"/>
      <c r="B73" s="13"/>
      <c r="C73" s="13"/>
      <c r="D73" s="13"/>
      <c r="E73" s="13"/>
      <c r="F73" s="13"/>
      <c r="G73" s="13"/>
      <c r="H73" s="13"/>
      <c r="I73" s="13"/>
      <c r="J73" s="13"/>
      <c r="K73" s="13"/>
      <c r="L73" s="17"/>
      <c r="M73" s="119"/>
      <c r="N73" s="13"/>
      <c r="O73" s="13"/>
      <c r="P73" s="118"/>
      <c r="Q73" s="13"/>
      <c r="R73" s="13"/>
      <c r="S73" s="13"/>
      <c r="T73" s="118"/>
      <c r="U73" s="13"/>
      <c r="V73" s="13"/>
    </row>
    <row r="74" ht="16.5" spans="1:22">
      <c r="A74" s="13"/>
      <c r="B74" s="13"/>
      <c r="C74" s="13"/>
      <c r="D74" s="13"/>
      <c r="E74" s="13"/>
      <c r="F74" s="13"/>
      <c r="G74" s="13"/>
      <c r="H74" s="13"/>
      <c r="I74" s="13"/>
      <c r="J74" s="13"/>
      <c r="K74" s="13"/>
      <c r="L74" s="17"/>
      <c r="M74" s="119"/>
      <c r="N74" s="13"/>
      <c r="O74" s="13"/>
      <c r="P74" s="118"/>
      <c r="Q74" s="13"/>
      <c r="R74" s="13"/>
      <c r="S74" s="13"/>
      <c r="T74" s="118"/>
      <c r="U74" s="13"/>
      <c r="V74" s="13"/>
    </row>
  </sheetData>
  <sheetProtection password="E7D7" sheet="1" formatCells="0" insertHyperlinks="0" autoFilter="0" objects="1"/>
  <autoFilter xmlns:etc="http://www.wps.cn/officeDocument/2017/etCustomData" ref="A1:V74" etc:filterBottomFollowUsedRange="1">
    <extLst/>
  </autoFilter>
  <dataValidations count="8">
    <dataValidation type="list" allowBlank="1" showErrorMessage="1" errorTitle="错误提示" error="请输入下拉列表中的值" id="{5543fad6-de82-49ba-b44f-49595aefac6e}" sqref="R12:R36" errorStyle="information">
      <formula1>"是,否,沟通中"</formula1>
    </dataValidation>
    <dataValidation type="list" allowBlank="1" showErrorMessage="1" errorTitle="错误提示" error="请输入下拉列表中的值" id="{5543fad6-de82-49ba-b44f-49595aefac6e}" sqref="Q12:Q36 Q2:R11 Q38:R53" errorStyle="information">
      <formula1>"是,否,待定"</formula1>
    </dataValidation>
    <dataValidation type="list" allowBlank="1" showErrorMessage="1" errorTitle="错误提示" error="请输入下拉列表中的值" id="{5543fad6-de82-49ba-b44f-49595aefac6e}" sqref="T48:T49" errorStyle="information">
      <formula1>"预计当前迭代完成交付,预计2个迭代完成交付,预计3个迭代完成交付,预计3个以上迭代完成交付,本迭代无法启动后续重新排期"</formula1>
    </dataValidation>
    <dataValidation type="list" allowBlank="1" showErrorMessage="1" errorTitle="错误提示" error="请输入下拉列表中的值" id="{5543fad6-de82-49ba-b44f-49595aefac6e}" sqref="S$1:S$1048576" errorStyle="information">
      <formula1>"预计0328迭代完成交付,预计0425迭代完成交付,预计0523迭代完成交付,预计0523迭代之后完成交付,本迭代无法启动后续重新排期"</formula1>
    </dataValidation>
    <dataValidation type="list" allowBlank="1" showErrorMessage="1" errorTitle="错误提示" error="请输入下拉列表中的值" id="{5543fad6-de82-49ba-b44f-49595aefac6e}" sqref="A38:A70" errorStyle="information">
      <formula1>"信息技术部"</formula1>
    </dataValidation>
    <dataValidation type="list" allowBlank="1" showErrorMessage="1" errorTitle="错误提示" error="请输入下拉列表中的值" id="{5543fad6-de82-49ba-b44f-49595aefac6e}" sqref="T50 T2:T36 T38:T45" errorStyle="information">
      <formula1>"预计当前迭代完成交付,预计2个迭代完成交付,预计3个迭代完成交付,预计3个以上迭代完成交付,本迭代无法启动后续重新排期,预计提前完成（早于0307版本）"</formula1>
    </dataValidation>
    <dataValidation type="list" allowBlank="1" showErrorMessage="1" errorTitle="错误提示" error="请输入下拉列表中的值" id="{5543fad6-de82-49ba-b44f-49595aefac6e}" sqref="P2:P53" errorStyle="information">
      <formula1>"【Calypso下线项目】美国国国债簿记,【海外交易能力建设】美国国债自营交易链路,【海外交易能力建设】债券做市业务系统建设,【海外交易能力建设】香港外汇期货做市项目,【Calypso下线项目】Tarf簿记,FICC策略平台整合项目,FICC人工智能专项项目,O45迁移项目,FICC交易日历优化项目,FICCUI测试专项,境外本地化部署规划,无"</formula1>
    </dataValidation>
    <dataValidation type="list" allowBlank="1" showErrorMessage="1" errorTitle="错误提示" error="请输入下拉列表中的值" id="{5543fad6-de82-49ba-b44f-49595aefac6e}" sqref="A2:A36" errorStyle="information">
      <formula1>"固定收益部,香港金控FICC,资金运营部,中央交易室,风险管理部,运营中心"</formula1>
    </dataValidation>
  </dataValidations>
  <hyperlinks>
    <hyperlink ref="B5" r:id="rId1" display="FICCHEADS-1180" tooltip="http://jira.htzq.htsc.com.cn/browse/FICCHEADS-1180"/>
    <hyperlink ref="B4" r:id="rId2" display="FICCHEADS-1167" tooltip="http://jira.htzq.htsc.com.cn/browse/FICCHEADS-1167"/>
    <hyperlink ref="B7" r:id="rId3" display="FICCHEADS-1097" tooltip="http://jira.htzq.htsc.com.cn/browse/FICCHEADS-1097"/>
    <hyperlink ref="B9" r:id="rId4" display="FICCHEADS-1136" tooltip="http://jira.htzq.htsc.com.cn/browse/FICCHEADS-1136"/>
    <hyperlink ref="B8" r:id="rId5" display="FICCHEADS-1099" tooltip="http://jira.htzq.htsc.com.cn/browse/FICCHEADS-1099"/>
    <hyperlink ref="B3" r:id="rId6" display="FICCHEADS-1124" tooltip="http://jira.htzq.htsc.com.cn/browse/FICCHEADS-1124"/>
    <hyperlink ref="B6" r:id="rId7" display="FICCHEADS-873" tooltip="http://jira.htzq.htsc.com.cn/browse/FICCHEADS-873"/>
    <hyperlink ref="B2" r:id="rId8" display="FICCHEADS-1127" tooltip="http://jira.htzq.htsc.com.cn/browse/FICCHEADS-1127"/>
    <hyperlink ref="B11" r:id="rId9" display="FICCHEADS-812"/>
    <hyperlink ref="B10" r:id="rId10" display="FICCHEADS-1082"/>
    <hyperlink ref="B18" r:id="rId11" display="FICCHEADS-1096" tooltip="http://jira.htzq.htsc.com.cn/browse/FICCHEADS-1096"/>
    <hyperlink ref="B19" r:id="rId12" display="FICCHEADS-983" tooltip="http://jira.htzq.htsc.com.cn/browse/FICCHEADS-983"/>
    <hyperlink ref="B12" r:id="rId13" display="FICCHEADS-1110"/>
    <hyperlink ref="B13" r:id="rId14" display="FICCHEADS-1140"/>
    <hyperlink ref="B14" r:id="rId15" display="FICCHEADS-1189"/>
    <hyperlink ref="B15" r:id="rId16" display="FICCHEADS-1194"/>
    <hyperlink ref="B16" r:id="rId17" display="FICCHEADS-1184"/>
    <hyperlink ref="B17" r:id="rId18" display="FICCHEADS-1149"/>
    <hyperlink ref="B21" r:id="rId19" display="FICCHEADS-955"/>
    <hyperlink ref="B22" r:id="rId20" display="FICCHEADS-931"/>
    <hyperlink ref="B23" r:id="rId21" display="FICCHEADS-147"/>
    <hyperlink ref="B24" r:id="rId22" display="IT需求申请央20251028572539"/>
    <hyperlink ref="B25" r:id="rId23" display="IT需求申请资运20251224590060"/>
    <hyperlink ref="B27" r:id="rId24" location="/main/workflow/req?requestid=7032267&amp;_workflowid=12522&amp;f_weaver_belongto_userid=71200&amp;isovertime=0&amp;preloadkey=1766547325376&amp;timestamp=1766547325376&amp;_key=k4e1cq" display="IT需求申请风20250905559247"/>
    <hyperlink ref="B26" r:id="rId23" display="IT需求申请资运20251224590060"/>
    <hyperlink ref="B28" r:id="rId25" display="FICCHEADS-1168" tooltip="http://jira.htzq.htsc.com.cn/browse/FICCHEADS-1168"/>
    <hyperlink ref="B20" r:id="rId26" display="FICCHEADS-1197"/>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7"/>
  <sheetViews>
    <sheetView workbookViewId="0">
      <pane xSplit="4" ySplit="2" topLeftCell="V6" activePane="bottomRight" state="frozen"/>
      <selection/>
      <selection pane="topRight"/>
      <selection pane="bottomLeft"/>
      <selection pane="bottomRight" activeCell="D6" sqref="D6:I9"/>
    </sheetView>
  </sheetViews>
  <sheetFormatPr defaultColWidth="9" defaultRowHeight="16.5"/>
  <cols>
    <col min="1" max="1" width="9" style="65"/>
    <col min="2" max="2" width="10.6833333333333" style="65" customWidth="1"/>
    <col min="3" max="3" width="7.25833333333333" style="66" customWidth="1"/>
    <col min="4" max="4" width="22.8916666666667" style="66" customWidth="1"/>
    <col min="5" max="5" width="14.9" style="66" customWidth="1"/>
    <col min="6" max="6" width="12.875" style="65" customWidth="1"/>
    <col min="7" max="7" width="10.975" style="28" customWidth="1"/>
    <col min="8" max="9" width="11.625" style="65" customWidth="1"/>
    <col min="10" max="10" width="18.1666666666667" style="65" customWidth="1"/>
    <col min="11" max="11" width="16.7083333333333" style="65" customWidth="1"/>
    <col min="12" max="12" width="22.7083333333333" style="1" customWidth="1"/>
    <col min="13" max="13" width="14.7083333333333" style="1" customWidth="1"/>
    <col min="14" max="14" width="47.0666666666667" style="1" customWidth="1"/>
    <col min="15" max="15" width="12.15" style="67" customWidth="1"/>
    <col min="16" max="16" width="22.4333333333333" style="67" customWidth="1"/>
    <col min="17" max="17" width="14.7" style="67" customWidth="1"/>
    <col min="18" max="18" width="9" style="1"/>
    <col min="19" max="19" width="9" style="68"/>
    <col min="20" max="20" width="9" style="1"/>
    <col min="21" max="21" width="9" style="65"/>
    <col min="22" max="22" width="9.71666666666667" style="1" customWidth="1"/>
    <col min="23" max="23" width="15" style="1" customWidth="1"/>
    <col min="24" max="24" width="19.2166666666667" style="1" customWidth="1"/>
    <col min="25" max="16384" width="9" style="1"/>
  </cols>
  <sheetData>
    <row r="1" spans="1:24">
      <c r="A1" s="69" t="s">
        <v>284</v>
      </c>
      <c r="B1" s="69"/>
      <c r="C1" s="69"/>
      <c r="D1" s="69"/>
      <c r="E1" s="69"/>
      <c r="F1" s="69"/>
      <c r="G1" s="96"/>
      <c r="H1" s="69"/>
      <c r="I1" s="69"/>
      <c r="J1" s="112" t="s">
        <v>285</v>
      </c>
      <c r="K1" s="113"/>
      <c r="L1" s="114"/>
      <c r="M1" s="130"/>
      <c r="N1" s="114"/>
      <c r="O1" s="114"/>
      <c r="P1" s="114"/>
      <c r="Q1" s="114"/>
      <c r="R1" s="130"/>
      <c r="S1" s="130"/>
      <c r="T1" s="130"/>
      <c r="U1" s="151"/>
      <c r="V1" s="152" t="s">
        <v>286</v>
      </c>
      <c r="W1" s="153"/>
      <c r="X1" s="154"/>
    </row>
    <row r="2" ht="30" spans="1:24">
      <c r="A2" s="70" t="s">
        <v>287</v>
      </c>
      <c r="B2" s="71" t="s">
        <v>0</v>
      </c>
      <c r="C2" s="71" t="s">
        <v>1</v>
      </c>
      <c r="D2" s="71" t="s">
        <v>288</v>
      </c>
      <c r="E2" s="71" t="s">
        <v>8</v>
      </c>
      <c r="F2" s="71" t="s">
        <v>289</v>
      </c>
      <c r="G2" s="97" t="s">
        <v>10</v>
      </c>
      <c r="H2" s="71" t="s">
        <v>290</v>
      </c>
      <c r="I2" s="71" t="s">
        <v>291</v>
      </c>
      <c r="J2" s="115" t="s">
        <v>292</v>
      </c>
      <c r="K2" s="116" t="s">
        <v>293</v>
      </c>
      <c r="L2" s="117" t="s">
        <v>294</v>
      </c>
      <c r="M2" s="131" t="s">
        <v>12</v>
      </c>
      <c r="N2" s="117" t="s">
        <v>295</v>
      </c>
      <c r="O2" s="117" t="s">
        <v>296</v>
      </c>
      <c r="P2" s="132" t="s">
        <v>297</v>
      </c>
      <c r="Q2" s="117" t="s">
        <v>298</v>
      </c>
      <c r="R2" s="137" t="s">
        <v>299</v>
      </c>
      <c r="S2" s="138" t="s">
        <v>300</v>
      </c>
      <c r="T2" s="137" t="s">
        <v>301</v>
      </c>
      <c r="U2" s="155" t="s">
        <v>302</v>
      </c>
      <c r="V2" s="156" t="s">
        <v>303</v>
      </c>
      <c r="W2" s="156" t="s">
        <v>304</v>
      </c>
      <c r="X2" s="156" t="s">
        <v>305</v>
      </c>
    </row>
    <row r="3" ht="82.5" spans="1:24">
      <c r="A3" s="34" t="s">
        <v>25</v>
      </c>
      <c r="B3" s="12" t="s">
        <v>21</v>
      </c>
      <c r="C3" s="72" t="s">
        <v>22</v>
      </c>
      <c r="D3" s="62" t="s">
        <v>23</v>
      </c>
      <c r="E3" s="34" t="s">
        <v>29</v>
      </c>
      <c r="F3" s="34"/>
      <c r="G3" s="98" t="s">
        <v>30</v>
      </c>
      <c r="H3" s="82" t="s">
        <v>32</v>
      </c>
      <c r="I3" s="103" t="s">
        <v>33</v>
      </c>
      <c r="J3" s="118" t="s">
        <v>306</v>
      </c>
      <c r="K3" s="6" t="s">
        <v>32</v>
      </c>
      <c r="L3" s="39" t="s">
        <v>307</v>
      </c>
      <c r="M3" s="37"/>
      <c r="N3" s="133" t="s">
        <v>308</v>
      </c>
      <c r="O3" s="6" t="s">
        <v>309</v>
      </c>
      <c r="P3" s="6" t="s">
        <v>310</v>
      </c>
      <c r="Q3" s="136" t="s">
        <v>311</v>
      </c>
      <c r="R3" s="12"/>
      <c r="S3" s="36" t="s">
        <v>35</v>
      </c>
      <c r="T3" s="12" t="s">
        <v>35</v>
      </c>
      <c r="U3" s="120" t="s">
        <v>312</v>
      </c>
      <c r="V3" s="12" t="s">
        <v>313</v>
      </c>
      <c r="W3" s="6" t="s">
        <v>314</v>
      </c>
      <c r="X3" s="6"/>
    </row>
    <row r="4" ht="82.5" spans="1:24">
      <c r="A4" s="73" t="s">
        <v>25</v>
      </c>
      <c r="B4" s="73" t="s">
        <v>21</v>
      </c>
      <c r="C4" s="74" t="s">
        <v>39</v>
      </c>
      <c r="D4" s="73" t="s">
        <v>40</v>
      </c>
      <c r="E4" s="73" t="s">
        <v>29</v>
      </c>
      <c r="F4" s="76"/>
      <c r="G4" s="99" t="s">
        <v>30</v>
      </c>
      <c r="H4" s="84" t="s">
        <v>32</v>
      </c>
      <c r="I4" s="84" t="s">
        <v>33</v>
      </c>
      <c r="J4" s="118" t="s">
        <v>306</v>
      </c>
      <c r="K4" s="47" t="s">
        <v>32</v>
      </c>
      <c r="L4" s="39" t="s">
        <v>307</v>
      </c>
      <c r="M4" s="37"/>
      <c r="N4" s="133" t="s">
        <v>315</v>
      </c>
      <c r="O4" s="6" t="s">
        <v>316</v>
      </c>
      <c r="P4" s="6" t="s">
        <v>317</v>
      </c>
      <c r="Q4" s="136" t="s">
        <v>318</v>
      </c>
      <c r="R4" s="12"/>
      <c r="S4" s="36" t="s">
        <v>35</v>
      </c>
      <c r="T4" s="12" t="s">
        <v>35</v>
      </c>
      <c r="U4" s="120" t="s">
        <v>312</v>
      </c>
      <c r="V4" s="12" t="s">
        <v>319</v>
      </c>
      <c r="W4" s="118"/>
      <c r="X4" s="6"/>
    </row>
    <row r="5" ht="82.5" spans="1:24">
      <c r="A5" s="75"/>
      <c r="B5" s="75"/>
      <c r="C5" s="74"/>
      <c r="D5" s="75"/>
      <c r="E5" s="75"/>
      <c r="F5" s="100"/>
      <c r="G5" s="101"/>
      <c r="H5" s="102"/>
      <c r="I5" s="102"/>
      <c r="J5" s="118" t="s">
        <v>320</v>
      </c>
      <c r="K5" s="12" t="s">
        <v>243</v>
      </c>
      <c r="L5" s="39" t="s">
        <v>34</v>
      </c>
      <c r="M5" s="37"/>
      <c r="N5" s="133" t="s">
        <v>321</v>
      </c>
      <c r="O5" s="6" t="s">
        <v>322</v>
      </c>
      <c r="P5" s="6" t="s">
        <v>323</v>
      </c>
      <c r="Q5" s="136" t="s">
        <v>324</v>
      </c>
      <c r="R5" s="12"/>
      <c r="S5" s="36" t="s">
        <v>35</v>
      </c>
      <c r="T5" s="12" t="s">
        <v>35</v>
      </c>
      <c r="U5" s="157" t="s">
        <v>325</v>
      </c>
      <c r="V5" s="12" t="s">
        <v>326</v>
      </c>
      <c r="W5" s="118"/>
      <c r="X5" s="6"/>
    </row>
    <row r="6" ht="33" spans="1:24">
      <c r="A6" s="76" t="s">
        <v>47</v>
      </c>
      <c r="B6" s="20" t="s">
        <v>44</v>
      </c>
      <c r="C6" s="77" t="s">
        <v>45</v>
      </c>
      <c r="D6" s="20" t="s">
        <v>46</v>
      </c>
      <c r="E6" s="20" t="s">
        <v>29</v>
      </c>
      <c r="F6" s="20" t="s">
        <v>50</v>
      </c>
      <c r="G6" s="20" t="s">
        <v>51</v>
      </c>
      <c r="H6" s="20" t="s">
        <v>52</v>
      </c>
      <c r="I6" s="20" t="s">
        <v>53</v>
      </c>
      <c r="J6" s="119" t="s">
        <v>327</v>
      </c>
      <c r="K6" s="120" t="s">
        <v>94</v>
      </c>
      <c r="L6" s="121" t="s">
        <v>328</v>
      </c>
      <c r="M6" s="37" t="s">
        <v>31</v>
      </c>
      <c r="N6" s="6" t="s">
        <v>329</v>
      </c>
      <c r="O6" s="62" t="s">
        <v>330</v>
      </c>
      <c r="P6" s="62" t="s">
        <v>331</v>
      </c>
      <c r="Q6" s="139"/>
      <c r="R6" s="140" t="s">
        <v>35</v>
      </c>
      <c r="S6" s="141" t="s">
        <v>35</v>
      </c>
      <c r="T6" s="36" t="s">
        <v>35</v>
      </c>
      <c r="U6" s="158" t="s">
        <v>332</v>
      </c>
      <c r="V6" s="12" t="s">
        <v>333</v>
      </c>
      <c r="W6" s="6" t="s">
        <v>334</v>
      </c>
      <c r="X6" s="118"/>
    </row>
    <row r="7" ht="82.5" spans="1:24">
      <c r="A7" s="78"/>
      <c r="B7" s="22"/>
      <c r="C7" s="77"/>
      <c r="D7" s="22"/>
      <c r="E7" s="22"/>
      <c r="F7" s="22"/>
      <c r="G7" s="22"/>
      <c r="H7" s="22"/>
      <c r="I7" s="22"/>
      <c r="J7" s="13" t="s">
        <v>306</v>
      </c>
      <c r="K7" s="12" t="s">
        <v>335</v>
      </c>
      <c r="L7" s="121" t="s">
        <v>328</v>
      </c>
      <c r="M7" s="37" t="s">
        <v>31</v>
      </c>
      <c r="N7" s="6" t="s">
        <v>336</v>
      </c>
      <c r="O7" s="62" t="s">
        <v>337</v>
      </c>
      <c r="P7" s="62" t="s">
        <v>338</v>
      </c>
      <c r="Q7" s="136" t="s">
        <v>339</v>
      </c>
      <c r="R7" s="142"/>
      <c r="S7" s="141" t="s">
        <v>35</v>
      </c>
      <c r="T7" s="36" t="s">
        <v>35</v>
      </c>
      <c r="U7" s="158" t="s">
        <v>332</v>
      </c>
      <c r="V7" s="12" t="s">
        <v>340</v>
      </c>
      <c r="W7" s="6" t="s">
        <v>341</v>
      </c>
      <c r="X7" s="118"/>
    </row>
    <row r="8" ht="82.5" spans="1:24">
      <c r="A8" s="78"/>
      <c r="B8" s="22"/>
      <c r="C8" s="77"/>
      <c r="D8" s="22"/>
      <c r="E8" s="22"/>
      <c r="F8" s="22"/>
      <c r="G8" s="22"/>
      <c r="H8" s="22"/>
      <c r="I8" s="22"/>
      <c r="J8" s="118" t="s">
        <v>342</v>
      </c>
      <c r="K8" s="6" t="s">
        <v>52</v>
      </c>
      <c r="L8" s="39" t="s">
        <v>328</v>
      </c>
      <c r="M8" s="37" t="s">
        <v>31</v>
      </c>
      <c r="N8" s="133" t="s">
        <v>343</v>
      </c>
      <c r="O8" s="62" t="s">
        <v>344</v>
      </c>
      <c r="P8" s="6" t="s">
        <v>345</v>
      </c>
      <c r="Q8" s="136" t="s">
        <v>339</v>
      </c>
      <c r="R8" s="143"/>
      <c r="S8" s="36" t="s">
        <v>35</v>
      </c>
      <c r="T8" s="36" t="s">
        <v>35</v>
      </c>
      <c r="U8" s="158" t="s">
        <v>332</v>
      </c>
      <c r="V8" s="12" t="s">
        <v>53</v>
      </c>
      <c r="W8" s="6" t="s">
        <v>346</v>
      </c>
      <c r="X8" s="6"/>
    </row>
    <row r="9" ht="82.5" spans="1:24">
      <c r="A9" s="78"/>
      <c r="B9" s="22"/>
      <c r="C9" s="77"/>
      <c r="D9" s="22"/>
      <c r="E9" s="22"/>
      <c r="F9" s="22"/>
      <c r="G9" s="22"/>
      <c r="H9" s="22"/>
      <c r="I9" s="22"/>
      <c r="J9" s="122" t="s">
        <v>327</v>
      </c>
      <c r="K9" s="8" t="s">
        <v>266</v>
      </c>
      <c r="L9" s="39" t="s">
        <v>347</v>
      </c>
      <c r="M9" s="37" t="s">
        <v>31</v>
      </c>
      <c r="N9" s="133" t="s">
        <v>348</v>
      </c>
      <c r="O9" s="6" t="s">
        <v>349</v>
      </c>
      <c r="P9" s="6" t="s">
        <v>350</v>
      </c>
      <c r="Q9" s="136" t="s">
        <v>351</v>
      </c>
      <c r="R9" s="144"/>
      <c r="S9" s="36" t="s">
        <v>35</v>
      </c>
      <c r="T9" s="12"/>
      <c r="U9" s="158" t="s">
        <v>352</v>
      </c>
      <c r="V9" s="12" t="s">
        <v>333</v>
      </c>
      <c r="W9" s="6" t="s">
        <v>334</v>
      </c>
      <c r="X9" s="6"/>
    </row>
    <row r="10" ht="82.5" spans="1:24">
      <c r="A10" s="73" t="s">
        <v>47</v>
      </c>
      <c r="B10" s="73" t="s">
        <v>44</v>
      </c>
      <c r="C10" s="74" t="s">
        <v>58</v>
      </c>
      <c r="D10" s="73" t="s">
        <v>59</v>
      </c>
      <c r="E10" s="73" t="s">
        <v>63</v>
      </c>
      <c r="F10" s="73" t="s">
        <v>64</v>
      </c>
      <c r="G10" s="76" t="s">
        <v>65</v>
      </c>
      <c r="H10" s="73" t="s">
        <v>66</v>
      </c>
      <c r="I10" s="73" t="s">
        <v>67</v>
      </c>
      <c r="J10" s="122" t="s">
        <v>327</v>
      </c>
      <c r="K10" s="8" t="s">
        <v>353</v>
      </c>
      <c r="L10" s="39" t="s">
        <v>328</v>
      </c>
      <c r="M10" s="37" t="s">
        <v>31</v>
      </c>
      <c r="N10" s="133" t="s">
        <v>354</v>
      </c>
      <c r="O10" s="6" t="s">
        <v>355</v>
      </c>
      <c r="P10" s="6" t="s">
        <v>356</v>
      </c>
      <c r="Q10" s="136" t="s">
        <v>357</v>
      </c>
      <c r="R10" s="12"/>
      <c r="S10" s="36" t="s">
        <v>35</v>
      </c>
      <c r="T10" s="12" t="s">
        <v>35</v>
      </c>
      <c r="U10" s="158" t="s">
        <v>358</v>
      </c>
      <c r="V10" s="12" t="s">
        <v>67</v>
      </c>
      <c r="W10" s="118"/>
      <c r="X10" s="6"/>
    </row>
    <row r="11" ht="82.5" spans="1:24">
      <c r="A11" s="79"/>
      <c r="B11" s="79"/>
      <c r="C11" s="74"/>
      <c r="D11" s="79"/>
      <c r="E11" s="79"/>
      <c r="F11" s="79"/>
      <c r="G11" s="78"/>
      <c r="H11" s="79"/>
      <c r="I11" s="79"/>
      <c r="J11" s="122" t="s">
        <v>327</v>
      </c>
      <c r="K11" s="8" t="s">
        <v>32</v>
      </c>
      <c r="L11" s="39" t="s">
        <v>328</v>
      </c>
      <c r="M11" s="37" t="s">
        <v>31</v>
      </c>
      <c r="N11" s="133" t="s">
        <v>359</v>
      </c>
      <c r="O11" s="6" t="s">
        <v>360</v>
      </c>
      <c r="P11" s="6" t="s">
        <v>361</v>
      </c>
      <c r="Q11" s="136" t="s">
        <v>362</v>
      </c>
      <c r="R11" s="12"/>
      <c r="S11" s="36" t="s">
        <v>125</v>
      </c>
      <c r="T11" s="12" t="s">
        <v>125</v>
      </c>
      <c r="U11" s="158" t="s">
        <v>312</v>
      </c>
      <c r="V11" s="12" t="s">
        <v>67</v>
      </c>
      <c r="W11" s="118"/>
      <c r="X11" s="6"/>
    </row>
    <row r="12" ht="82.5" spans="1:24">
      <c r="A12" s="75"/>
      <c r="B12" s="75"/>
      <c r="C12" s="74"/>
      <c r="D12" s="75"/>
      <c r="E12" s="75"/>
      <c r="F12" s="75"/>
      <c r="G12" s="75"/>
      <c r="H12" s="75"/>
      <c r="I12" s="75"/>
      <c r="J12" s="118" t="s">
        <v>320</v>
      </c>
      <c r="K12" s="12" t="s">
        <v>363</v>
      </c>
      <c r="L12" s="39" t="s">
        <v>328</v>
      </c>
      <c r="M12" s="37" t="s">
        <v>31</v>
      </c>
      <c r="N12" s="133" t="s">
        <v>364</v>
      </c>
      <c r="O12" s="6" t="s">
        <v>365</v>
      </c>
      <c r="P12" s="6" t="s">
        <v>366</v>
      </c>
      <c r="Q12" s="136" t="s">
        <v>367</v>
      </c>
      <c r="R12" s="12"/>
      <c r="S12" s="36" t="s">
        <v>35</v>
      </c>
      <c r="T12" s="12" t="s">
        <v>125</v>
      </c>
      <c r="U12" s="158" t="s">
        <v>312</v>
      </c>
      <c r="V12" s="12"/>
      <c r="W12" s="6" t="s">
        <v>368</v>
      </c>
      <c r="X12" s="6"/>
    </row>
    <row r="13" ht="33" spans="1:24">
      <c r="A13" s="73" t="s">
        <v>25</v>
      </c>
      <c r="B13" s="80" t="s">
        <v>21</v>
      </c>
      <c r="C13" s="74" t="s">
        <v>72</v>
      </c>
      <c r="D13" s="73" t="s">
        <v>73</v>
      </c>
      <c r="E13" s="73" t="s">
        <v>29</v>
      </c>
      <c r="F13" s="73"/>
      <c r="G13" s="99" t="s">
        <v>30</v>
      </c>
      <c r="H13" s="84" t="s">
        <v>32</v>
      </c>
      <c r="I13" s="84" t="s">
        <v>33</v>
      </c>
      <c r="J13" s="118" t="s">
        <v>306</v>
      </c>
      <c r="K13" s="12" t="s">
        <v>32</v>
      </c>
      <c r="L13" s="39" t="s">
        <v>307</v>
      </c>
      <c r="M13" s="37"/>
      <c r="N13" s="133" t="s">
        <v>369</v>
      </c>
      <c r="O13" s="6" t="s">
        <v>370</v>
      </c>
      <c r="P13" s="6" t="s">
        <v>371</v>
      </c>
      <c r="Q13" s="145" t="s">
        <v>372</v>
      </c>
      <c r="R13" s="12"/>
      <c r="S13" s="36" t="s">
        <v>125</v>
      </c>
      <c r="T13" s="12" t="s">
        <v>125</v>
      </c>
      <c r="U13" s="120" t="s">
        <v>312</v>
      </c>
      <c r="V13" s="12" t="s">
        <v>373</v>
      </c>
      <c r="W13" s="118"/>
      <c r="X13" s="6"/>
    </row>
    <row r="14" ht="49.5" spans="1:24">
      <c r="A14" s="75"/>
      <c r="B14" s="81"/>
      <c r="C14" s="74"/>
      <c r="D14" s="75"/>
      <c r="E14" s="75"/>
      <c r="F14" s="75"/>
      <c r="G14" s="101"/>
      <c r="H14" s="86"/>
      <c r="I14" s="86"/>
      <c r="J14" s="119" t="s">
        <v>327</v>
      </c>
      <c r="K14" s="120" t="s">
        <v>32</v>
      </c>
      <c r="L14" s="123" t="s">
        <v>307</v>
      </c>
      <c r="N14" s="62" t="s">
        <v>374</v>
      </c>
      <c r="O14" s="6" t="s">
        <v>375</v>
      </c>
      <c r="P14" s="6" t="s">
        <v>376</v>
      </c>
      <c r="Q14" s="136"/>
      <c r="R14" s="12"/>
      <c r="S14" s="36" t="s">
        <v>125</v>
      </c>
      <c r="T14" s="36" t="s">
        <v>125</v>
      </c>
      <c r="U14" s="158" t="s">
        <v>312</v>
      </c>
      <c r="V14" s="12" t="s">
        <v>377</v>
      </c>
      <c r="W14" s="118"/>
      <c r="X14" s="6"/>
    </row>
    <row r="15" ht="49.5" spans="1:24">
      <c r="A15" s="34" t="s">
        <v>25</v>
      </c>
      <c r="B15" s="12" t="s">
        <v>21</v>
      </c>
      <c r="C15" s="72" t="s">
        <v>76</v>
      </c>
      <c r="D15" s="62" t="s">
        <v>77</v>
      </c>
      <c r="E15" s="34" t="s">
        <v>81</v>
      </c>
      <c r="F15" s="37" t="s">
        <v>82</v>
      </c>
      <c r="G15" s="17" t="s">
        <v>65</v>
      </c>
      <c r="H15" s="84" t="s">
        <v>83</v>
      </c>
      <c r="I15" s="84" t="s">
        <v>84</v>
      </c>
      <c r="J15" s="118" t="s">
        <v>342</v>
      </c>
      <c r="K15" s="12" t="s">
        <v>52</v>
      </c>
      <c r="L15" s="39" t="s">
        <v>378</v>
      </c>
      <c r="M15" s="37" t="s">
        <v>31</v>
      </c>
      <c r="N15" s="6" t="s">
        <v>379</v>
      </c>
      <c r="O15" s="62" t="s">
        <v>380</v>
      </c>
      <c r="P15" s="6" t="s">
        <v>381</v>
      </c>
      <c r="Q15" s="136"/>
      <c r="R15" s="12"/>
      <c r="S15" s="36" t="s">
        <v>35</v>
      </c>
      <c r="T15" s="36" t="s">
        <v>35</v>
      </c>
      <c r="U15" s="158" t="s">
        <v>352</v>
      </c>
      <c r="V15" s="12" t="s">
        <v>382</v>
      </c>
      <c r="W15" s="118"/>
      <c r="X15" s="6"/>
    </row>
    <row r="16" ht="82.5" spans="1:24">
      <c r="A16" s="34" t="s">
        <v>25</v>
      </c>
      <c r="B16" s="12" t="s">
        <v>21</v>
      </c>
      <c r="C16" s="72" t="s">
        <v>87</v>
      </c>
      <c r="D16" s="62" t="s">
        <v>88</v>
      </c>
      <c r="E16" s="37" t="s">
        <v>63</v>
      </c>
      <c r="F16" s="37" t="s">
        <v>92</v>
      </c>
      <c r="G16" s="98" t="s">
        <v>93</v>
      </c>
      <c r="H16" s="82" t="s">
        <v>94</v>
      </c>
      <c r="I16" s="82" t="s">
        <v>84</v>
      </c>
      <c r="J16" s="122" t="s">
        <v>327</v>
      </c>
      <c r="K16" s="120" t="s">
        <v>94</v>
      </c>
      <c r="L16" s="39" t="s">
        <v>328</v>
      </c>
      <c r="M16" s="37" t="s">
        <v>31</v>
      </c>
      <c r="N16" s="133" t="s">
        <v>383</v>
      </c>
      <c r="O16" s="6" t="s">
        <v>384</v>
      </c>
      <c r="P16" s="6" t="s">
        <v>385</v>
      </c>
      <c r="Q16" s="136" t="s">
        <v>386</v>
      </c>
      <c r="R16" s="12"/>
      <c r="S16" s="36" t="s">
        <v>35</v>
      </c>
      <c r="T16" s="12" t="s">
        <v>35</v>
      </c>
      <c r="U16" s="157" t="s">
        <v>325</v>
      </c>
      <c r="V16" s="12" t="s">
        <v>387</v>
      </c>
      <c r="W16" s="6" t="s">
        <v>388</v>
      </c>
      <c r="X16" s="6"/>
    </row>
    <row r="17" ht="82.5" spans="1:24">
      <c r="A17" s="34" t="s">
        <v>25</v>
      </c>
      <c r="B17" s="12" t="s">
        <v>21</v>
      </c>
      <c r="C17" s="72" t="s">
        <v>97</v>
      </c>
      <c r="D17" s="62" t="s">
        <v>98</v>
      </c>
      <c r="E17" s="37" t="s">
        <v>81</v>
      </c>
      <c r="F17" s="37" t="s">
        <v>82</v>
      </c>
      <c r="G17" s="17" t="s">
        <v>65</v>
      </c>
      <c r="H17" s="103" t="s">
        <v>52</v>
      </c>
      <c r="I17" s="103" t="s">
        <v>102</v>
      </c>
      <c r="J17" s="118" t="s">
        <v>342</v>
      </c>
      <c r="K17" s="12" t="s">
        <v>52</v>
      </c>
      <c r="L17" s="39" t="s">
        <v>378</v>
      </c>
      <c r="M17" s="37" t="s">
        <v>31</v>
      </c>
      <c r="N17" s="133" t="s">
        <v>389</v>
      </c>
      <c r="O17" s="62" t="s">
        <v>390</v>
      </c>
      <c r="P17" s="6" t="s">
        <v>391</v>
      </c>
      <c r="Q17" s="136" t="s">
        <v>392</v>
      </c>
      <c r="R17" s="12"/>
      <c r="S17" s="36" t="s">
        <v>125</v>
      </c>
      <c r="T17" s="12" t="s">
        <v>125</v>
      </c>
      <c r="U17" s="158" t="s">
        <v>393</v>
      </c>
      <c r="V17" s="6" t="s">
        <v>394</v>
      </c>
      <c r="W17" s="6" t="s">
        <v>395</v>
      </c>
      <c r="X17" s="6"/>
    </row>
    <row r="18" ht="82.5" spans="1:24">
      <c r="A18" s="82" t="s">
        <v>25</v>
      </c>
      <c r="B18" s="12" t="s">
        <v>21</v>
      </c>
      <c r="C18" s="83" t="s">
        <v>105</v>
      </c>
      <c r="D18" s="62" t="s">
        <v>106</v>
      </c>
      <c r="E18" s="37" t="s">
        <v>109</v>
      </c>
      <c r="F18" s="37" t="s">
        <v>110</v>
      </c>
      <c r="G18" s="17" t="s">
        <v>111</v>
      </c>
      <c r="H18" s="103" t="s">
        <v>94</v>
      </c>
      <c r="I18" s="103" t="s">
        <v>33</v>
      </c>
      <c r="J18" s="118" t="s">
        <v>306</v>
      </c>
      <c r="K18" s="12" t="s">
        <v>94</v>
      </c>
      <c r="L18" s="39" t="s">
        <v>396</v>
      </c>
      <c r="M18" s="37" t="s">
        <v>31</v>
      </c>
      <c r="N18" s="62" t="s">
        <v>397</v>
      </c>
      <c r="O18" s="6" t="s">
        <v>398</v>
      </c>
      <c r="P18" s="6" t="s">
        <v>399</v>
      </c>
      <c r="Q18" s="136" t="s">
        <v>400</v>
      </c>
      <c r="R18" s="12"/>
      <c r="S18" s="36" t="s">
        <v>35</v>
      </c>
      <c r="T18" s="12" t="s">
        <v>35</v>
      </c>
      <c r="U18" s="158" t="s">
        <v>325</v>
      </c>
      <c r="V18" s="12" t="s">
        <v>401</v>
      </c>
      <c r="W18" s="6" t="s">
        <v>402</v>
      </c>
      <c r="X18" s="6"/>
    </row>
    <row r="19" s="64" customFormat="1" ht="82.5" spans="1:24">
      <c r="A19" s="84" t="s">
        <v>25</v>
      </c>
      <c r="B19" s="85" t="s">
        <v>21</v>
      </c>
      <c r="C19" s="74" t="s">
        <v>113</v>
      </c>
      <c r="D19" s="73" t="s">
        <v>114</v>
      </c>
      <c r="E19" s="104" t="s">
        <v>81</v>
      </c>
      <c r="F19" s="73" t="s">
        <v>82</v>
      </c>
      <c r="G19" s="73" t="s">
        <v>65</v>
      </c>
      <c r="H19" s="84" t="s">
        <v>52</v>
      </c>
      <c r="I19" s="84" t="s">
        <v>102</v>
      </c>
      <c r="J19" s="124" t="s">
        <v>342</v>
      </c>
      <c r="K19" s="107" t="s">
        <v>52</v>
      </c>
      <c r="L19" s="62" t="s">
        <v>378</v>
      </c>
      <c r="M19" s="34" t="s">
        <v>31</v>
      </c>
      <c r="N19" s="62" t="s">
        <v>403</v>
      </c>
      <c r="O19" s="62" t="s">
        <v>404</v>
      </c>
      <c r="P19" s="134" t="s">
        <v>405</v>
      </c>
      <c r="Q19" s="146" t="s">
        <v>406</v>
      </c>
      <c r="R19" s="107"/>
      <c r="S19" s="36" t="s">
        <v>35</v>
      </c>
      <c r="T19" s="12" t="s">
        <v>35</v>
      </c>
      <c r="U19" s="158" t="s">
        <v>407</v>
      </c>
      <c r="V19" s="107" t="s">
        <v>408</v>
      </c>
      <c r="W19" s="134"/>
      <c r="X19" s="134"/>
    </row>
    <row r="20" customFormat="1" ht="82.5" spans="1:24">
      <c r="A20" s="86"/>
      <c r="B20" s="87"/>
      <c r="C20" s="74"/>
      <c r="D20" s="79"/>
      <c r="E20" s="105"/>
      <c r="F20" s="92"/>
      <c r="G20" s="92"/>
      <c r="H20" s="86"/>
      <c r="I20" s="86"/>
      <c r="J20" s="125" t="s">
        <v>409</v>
      </c>
      <c r="K20" s="12" t="s">
        <v>410</v>
      </c>
      <c r="L20" s="39" t="s">
        <v>378</v>
      </c>
      <c r="M20" s="37" t="s">
        <v>31</v>
      </c>
      <c r="N20" s="62" t="s">
        <v>411</v>
      </c>
      <c r="O20" s="62" t="s">
        <v>412</v>
      </c>
      <c r="P20" s="6" t="s">
        <v>413</v>
      </c>
      <c r="Q20" s="147" t="s">
        <v>406</v>
      </c>
      <c r="R20" s="13"/>
      <c r="S20" s="36" t="s">
        <v>35</v>
      </c>
      <c r="T20" s="12" t="s">
        <v>35</v>
      </c>
      <c r="U20" s="158" t="s">
        <v>352</v>
      </c>
      <c r="V20" s="12"/>
      <c r="W20" s="118"/>
      <c r="X20" s="6"/>
    </row>
    <row r="21" customFormat="1" ht="82.5" spans="1:24">
      <c r="A21" s="86"/>
      <c r="B21" s="87"/>
      <c r="C21" s="74"/>
      <c r="D21" s="79"/>
      <c r="E21" s="105"/>
      <c r="F21" s="92"/>
      <c r="G21" s="92"/>
      <c r="H21" s="86"/>
      <c r="I21" s="86"/>
      <c r="J21" s="125" t="s">
        <v>414</v>
      </c>
      <c r="K21" s="12" t="s">
        <v>52</v>
      </c>
      <c r="L21" s="39" t="s">
        <v>378</v>
      </c>
      <c r="M21" s="37" t="s">
        <v>31</v>
      </c>
      <c r="N21" s="62" t="s">
        <v>415</v>
      </c>
      <c r="O21" s="62" t="s">
        <v>416</v>
      </c>
      <c r="P21" s="6" t="s">
        <v>417</v>
      </c>
      <c r="Q21" s="147" t="s">
        <v>406</v>
      </c>
      <c r="R21" s="13"/>
      <c r="S21" s="36" t="s">
        <v>35</v>
      </c>
      <c r="T21" s="12" t="s">
        <v>35</v>
      </c>
      <c r="U21" s="158" t="s">
        <v>325</v>
      </c>
      <c r="V21" s="12"/>
      <c r="W21" s="118"/>
      <c r="X21" s="6"/>
    </row>
    <row r="22" ht="82.5" spans="1:24">
      <c r="A22" s="73" t="s">
        <v>25</v>
      </c>
      <c r="B22" s="73" t="s">
        <v>21</v>
      </c>
      <c r="C22" s="74" t="s">
        <v>128</v>
      </c>
      <c r="D22" s="73" t="s">
        <v>129</v>
      </c>
      <c r="E22" s="73" t="s">
        <v>122</v>
      </c>
      <c r="F22" s="73" t="s">
        <v>133</v>
      </c>
      <c r="G22" s="76" t="s">
        <v>93</v>
      </c>
      <c r="H22" s="73" t="s">
        <v>83</v>
      </c>
      <c r="I22" s="73" t="s">
        <v>84</v>
      </c>
      <c r="J22" s="126" t="s">
        <v>327</v>
      </c>
      <c r="K22" s="120" t="s">
        <v>83</v>
      </c>
      <c r="L22" s="39" t="s">
        <v>347</v>
      </c>
      <c r="M22" s="37" t="s">
        <v>124</v>
      </c>
      <c r="N22" s="62" t="s">
        <v>418</v>
      </c>
      <c r="O22" s="6" t="s">
        <v>419</v>
      </c>
      <c r="P22" s="6" t="s">
        <v>420</v>
      </c>
      <c r="Q22" s="136" t="s">
        <v>421</v>
      </c>
      <c r="R22" s="13"/>
      <c r="S22" s="121" t="s">
        <v>35</v>
      </c>
      <c r="T22" s="12" t="s">
        <v>35</v>
      </c>
      <c r="U22" s="159" t="s">
        <v>407</v>
      </c>
      <c r="V22" s="12" t="s">
        <v>422</v>
      </c>
      <c r="W22" s="6" t="s">
        <v>334</v>
      </c>
      <c r="X22" s="6" t="s">
        <v>423</v>
      </c>
    </row>
    <row r="23" ht="82.5" spans="1:24">
      <c r="A23" s="79"/>
      <c r="B23" s="79"/>
      <c r="C23" s="74"/>
      <c r="D23" s="79"/>
      <c r="E23" s="79"/>
      <c r="F23" s="79"/>
      <c r="G23" s="79"/>
      <c r="H23" s="79"/>
      <c r="I23" s="79"/>
      <c r="J23" s="125" t="s">
        <v>320</v>
      </c>
      <c r="K23" s="12" t="s">
        <v>243</v>
      </c>
      <c r="L23" s="39" t="s">
        <v>34</v>
      </c>
      <c r="M23" s="37" t="s">
        <v>124</v>
      </c>
      <c r="N23" s="62" t="s">
        <v>424</v>
      </c>
      <c r="O23" s="6" t="s">
        <v>425</v>
      </c>
      <c r="P23" s="6" t="s">
        <v>426</v>
      </c>
      <c r="Q23" s="136" t="s">
        <v>427</v>
      </c>
      <c r="R23" s="13"/>
      <c r="S23" s="36" t="s">
        <v>35</v>
      </c>
      <c r="T23" s="12" t="s">
        <v>35</v>
      </c>
      <c r="U23" s="120" t="s">
        <v>352</v>
      </c>
      <c r="V23" s="12" t="s">
        <v>326</v>
      </c>
      <c r="W23" s="118"/>
      <c r="X23" s="6" t="s">
        <v>428</v>
      </c>
    </row>
    <row r="24" ht="82.5" spans="1:24">
      <c r="A24" s="88" t="s">
        <v>47</v>
      </c>
      <c r="B24" s="89" t="s">
        <v>44</v>
      </c>
      <c r="C24" s="90" t="s">
        <v>137</v>
      </c>
      <c r="D24" s="39" t="s">
        <v>138</v>
      </c>
      <c r="E24" s="106" t="s">
        <v>63</v>
      </c>
      <c r="F24" s="98" t="s">
        <v>141</v>
      </c>
      <c r="G24" s="98" t="s">
        <v>93</v>
      </c>
      <c r="H24" s="107" t="s">
        <v>66</v>
      </c>
      <c r="I24" s="107" t="s">
        <v>84</v>
      </c>
      <c r="J24" s="126" t="s">
        <v>327</v>
      </c>
      <c r="K24" s="120" t="s">
        <v>429</v>
      </c>
      <c r="L24" s="39" t="s">
        <v>328</v>
      </c>
      <c r="M24" s="37"/>
      <c r="N24" s="62" t="s">
        <v>430</v>
      </c>
      <c r="O24" s="6"/>
      <c r="P24" s="6"/>
      <c r="Q24" s="136" t="s">
        <v>431</v>
      </c>
      <c r="R24" s="148" t="s">
        <v>35</v>
      </c>
      <c r="S24" s="36" t="s">
        <v>125</v>
      </c>
      <c r="T24" s="12" t="s">
        <v>125</v>
      </c>
      <c r="U24" s="158"/>
      <c r="V24" s="12"/>
      <c r="W24" s="118"/>
      <c r="X24" s="6"/>
    </row>
    <row r="25" ht="82.5" spans="1:24">
      <c r="A25" s="37" t="s">
        <v>47</v>
      </c>
      <c r="B25" s="89" t="s">
        <v>44</v>
      </c>
      <c r="C25" s="90" t="s">
        <v>145</v>
      </c>
      <c r="D25" s="39" t="s">
        <v>146</v>
      </c>
      <c r="E25" s="106" t="s">
        <v>63</v>
      </c>
      <c r="F25" s="98" t="s">
        <v>149</v>
      </c>
      <c r="G25" s="98" t="s">
        <v>65</v>
      </c>
      <c r="H25" s="107" t="s">
        <v>66</v>
      </c>
      <c r="I25" s="107" t="s">
        <v>84</v>
      </c>
      <c r="J25" s="126" t="s">
        <v>327</v>
      </c>
      <c r="K25" s="8" t="s">
        <v>432</v>
      </c>
      <c r="L25" s="39" t="s">
        <v>328</v>
      </c>
      <c r="M25" s="37"/>
      <c r="N25" s="62" t="s">
        <v>433</v>
      </c>
      <c r="O25" s="6"/>
      <c r="P25" s="6"/>
      <c r="Q25" s="136" t="s">
        <v>434</v>
      </c>
      <c r="R25" s="148" t="s">
        <v>35</v>
      </c>
      <c r="S25" s="36" t="s">
        <v>125</v>
      </c>
      <c r="T25" s="12" t="s">
        <v>125</v>
      </c>
      <c r="U25" s="158"/>
      <c r="V25" s="12"/>
      <c r="W25" s="118"/>
      <c r="X25" s="6"/>
    </row>
    <row r="26" ht="132" spans="1:24">
      <c r="A26" s="37" t="s">
        <v>25</v>
      </c>
      <c r="B26" s="89" t="s">
        <v>21</v>
      </c>
      <c r="C26" s="90" t="s">
        <v>157</v>
      </c>
      <c r="D26" s="39" t="s">
        <v>158</v>
      </c>
      <c r="E26" s="106" t="s">
        <v>29</v>
      </c>
      <c r="F26" s="98" t="s">
        <v>161</v>
      </c>
      <c r="G26" s="98" t="s">
        <v>30</v>
      </c>
      <c r="H26" s="107" t="s">
        <v>32</v>
      </c>
      <c r="I26" s="107" t="s">
        <v>33</v>
      </c>
      <c r="J26" s="125" t="s">
        <v>306</v>
      </c>
      <c r="K26" s="12" t="s">
        <v>32</v>
      </c>
      <c r="L26" s="39" t="s">
        <v>307</v>
      </c>
      <c r="M26" s="37"/>
      <c r="N26" s="62" t="s">
        <v>435</v>
      </c>
      <c r="O26" s="6" t="s">
        <v>436</v>
      </c>
      <c r="P26" s="6" t="s">
        <v>437</v>
      </c>
      <c r="Q26" s="136" t="s">
        <v>438</v>
      </c>
      <c r="R26" s="12"/>
      <c r="S26" s="121" t="s">
        <v>125</v>
      </c>
      <c r="T26" s="12" t="s">
        <v>125</v>
      </c>
      <c r="U26" s="159" t="s">
        <v>407</v>
      </c>
      <c r="V26" s="12" t="s">
        <v>439</v>
      </c>
      <c r="W26" s="6" t="s">
        <v>440</v>
      </c>
      <c r="X26" s="118"/>
    </row>
    <row r="27" ht="82.5" spans="1:24">
      <c r="A27" s="37" t="s">
        <v>25</v>
      </c>
      <c r="B27" s="89" t="s">
        <v>21</v>
      </c>
      <c r="C27" s="90" t="s">
        <v>164</v>
      </c>
      <c r="D27" s="39" t="s">
        <v>165</v>
      </c>
      <c r="E27" s="106" t="s">
        <v>109</v>
      </c>
      <c r="F27" s="98" t="s">
        <v>110</v>
      </c>
      <c r="G27" s="98" t="s">
        <v>51</v>
      </c>
      <c r="H27" s="107" t="s">
        <v>94</v>
      </c>
      <c r="I27" s="107" t="s">
        <v>33</v>
      </c>
      <c r="J27" s="126" t="s">
        <v>306</v>
      </c>
      <c r="K27" s="12" t="s">
        <v>94</v>
      </c>
      <c r="L27" s="39" t="s">
        <v>396</v>
      </c>
      <c r="M27" s="34" t="s">
        <v>168</v>
      </c>
      <c r="N27" s="62" t="s">
        <v>441</v>
      </c>
      <c r="O27" s="6" t="s">
        <v>442</v>
      </c>
      <c r="P27" s="6" t="s">
        <v>443</v>
      </c>
      <c r="Q27" s="136" t="s">
        <v>444</v>
      </c>
      <c r="R27" s="12"/>
      <c r="S27" s="36" t="s">
        <v>35</v>
      </c>
      <c r="T27" s="12" t="s">
        <v>35</v>
      </c>
      <c r="U27" s="120" t="s">
        <v>352</v>
      </c>
      <c r="V27" s="6" t="s">
        <v>445</v>
      </c>
      <c r="W27" s="6"/>
      <c r="X27" s="118"/>
    </row>
    <row r="28" ht="181.5" spans="1:24">
      <c r="A28" s="88" t="s">
        <v>25</v>
      </c>
      <c r="B28" s="88" t="s">
        <v>21</v>
      </c>
      <c r="C28" s="91" t="s">
        <v>175</v>
      </c>
      <c r="D28" s="88" t="s">
        <v>176</v>
      </c>
      <c r="E28" s="88" t="s">
        <v>180</v>
      </c>
      <c r="F28" s="88"/>
      <c r="G28" s="99" t="s">
        <v>93</v>
      </c>
      <c r="H28" s="88" t="s">
        <v>183</v>
      </c>
      <c r="I28" s="88" t="s">
        <v>84</v>
      </c>
      <c r="J28" s="127" t="s">
        <v>327</v>
      </c>
      <c r="K28" s="80" t="s">
        <v>183</v>
      </c>
      <c r="L28" s="128" t="s">
        <v>328</v>
      </c>
      <c r="M28" s="76" t="s">
        <v>182</v>
      </c>
      <c r="N28" s="62" t="s">
        <v>446</v>
      </c>
      <c r="O28" s="6" t="s">
        <v>447</v>
      </c>
      <c r="P28" s="6" t="s">
        <v>448</v>
      </c>
      <c r="Q28" s="149" t="s">
        <v>449</v>
      </c>
      <c r="R28" s="140" t="s">
        <v>35</v>
      </c>
      <c r="S28" s="36"/>
      <c r="T28" s="12"/>
      <c r="U28" s="158"/>
      <c r="V28" s="12" t="s">
        <v>450</v>
      </c>
      <c r="W28" s="6" t="s">
        <v>451</v>
      </c>
      <c r="X28" s="6" t="s">
        <v>452</v>
      </c>
    </row>
    <row r="29" ht="76.5" spans="1:24">
      <c r="A29" s="92"/>
      <c r="B29" s="92"/>
      <c r="C29" s="91"/>
      <c r="D29" s="92"/>
      <c r="E29" s="92"/>
      <c r="F29" s="92"/>
      <c r="G29" s="108"/>
      <c r="H29" s="92"/>
      <c r="I29" s="92"/>
      <c r="J29" s="127" t="s">
        <v>320</v>
      </c>
      <c r="K29" s="80" t="s">
        <v>243</v>
      </c>
      <c r="L29" s="129" t="s">
        <v>34</v>
      </c>
      <c r="M29" s="135" t="s">
        <v>182</v>
      </c>
      <c r="N29" s="62" t="s">
        <v>453</v>
      </c>
      <c r="O29" s="6" t="s">
        <v>454</v>
      </c>
      <c r="P29" s="6" t="s">
        <v>455</v>
      </c>
      <c r="Q29" s="150" t="s">
        <v>456</v>
      </c>
      <c r="R29" s="144"/>
      <c r="S29" s="36" t="s">
        <v>125</v>
      </c>
      <c r="T29" s="12" t="s">
        <v>35</v>
      </c>
      <c r="U29" s="120" t="s">
        <v>352</v>
      </c>
      <c r="V29" s="12"/>
      <c r="W29" s="6"/>
      <c r="X29" s="118"/>
    </row>
    <row r="30" ht="99" spans="1:24">
      <c r="A30" s="34" t="s">
        <v>25</v>
      </c>
      <c r="B30" s="89" t="s">
        <v>457</v>
      </c>
      <c r="C30" s="93" t="s">
        <v>211</v>
      </c>
      <c r="D30" s="12" t="s">
        <v>458</v>
      </c>
      <c r="E30" s="109"/>
      <c r="F30" s="34"/>
      <c r="G30" s="98" t="s">
        <v>459</v>
      </c>
      <c r="H30" s="12" t="s">
        <v>183</v>
      </c>
      <c r="I30" s="12" t="s">
        <v>84</v>
      </c>
      <c r="J30" s="126" t="s">
        <v>327</v>
      </c>
      <c r="K30" s="120" t="s">
        <v>183</v>
      </c>
      <c r="L30" s="125" t="s">
        <v>328</v>
      </c>
      <c r="M30" s="39" t="s">
        <v>217</v>
      </c>
      <c r="N30" s="62" t="s">
        <v>460</v>
      </c>
      <c r="O30" s="6" t="s">
        <v>461</v>
      </c>
      <c r="P30" s="6" t="s">
        <v>462</v>
      </c>
      <c r="Q30" s="149" t="s">
        <v>463</v>
      </c>
      <c r="R30" s="13"/>
      <c r="S30" s="36"/>
      <c r="T30" s="12"/>
      <c r="U30" s="158"/>
      <c r="V30" s="12"/>
      <c r="W30" s="6"/>
      <c r="X30" s="118"/>
    </row>
    <row r="31" ht="82.5" spans="1:24">
      <c r="A31" s="34" t="s">
        <v>25</v>
      </c>
      <c r="B31" s="34" t="s">
        <v>218</v>
      </c>
      <c r="C31" s="94" t="s">
        <v>219</v>
      </c>
      <c r="D31" s="34" t="s">
        <v>220</v>
      </c>
      <c r="E31" s="110"/>
      <c r="F31" s="34"/>
      <c r="G31" s="34" t="s">
        <v>222</v>
      </c>
      <c r="H31" s="34" t="s">
        <v>32</v>
      </c>
      <c r="I31" s="34" t="s">
        <v>224</v>
      </c>
      <c r="J31" s="8" t="s">
        <v>409</v>
      </c>
      <c r="K31" s="12" t="s">
        <v>32</v>
      </c>
      <c r="L31" s="125" t="s">
        <v>34</v>
      </c>
      <c r="M31" s="39"/>
      <c r="N31" s="62" t="s">
        <v>464</v>
      </c>
      <c r="O31" s="6" t="s">
        <v>465</v>
      </c>
      <c r="P31" s="6" t="s">
        <v>466</v>
      </c>
      <c r="Q31" s="136" t="s">
        <v>467</v>
      </c>
      <c r="R31" s="13"/>
      <c r="S31" s="36" t="s">
        <v>35</v>
      </c>
      <c r="T31" s="12" t="s">
        <v>35</v>
      </c>
      <c r="U31" s="158" t="s">
        <v>352</v>
      </c>
      <c r="V31" s="12" t="s">
        <v>468</v>
      </c>
      <c r="W31" s="118"/>
      <c r="X31" s="118"/>
    </row>
    <row r="32" ht="82.5" spans="1:24">
      <c r="A32" s="34"/>
      <c r="B32" s="34"/>
      <c r="C32" s="95"/>
      <c r="D32" s="34"/>
      <c r="E32" s="111"/>
      <c r="F32" s="34"/>
      <c r="G32" s="34"/>
      <c r="H32" s="34"/>
      <c r="I32" s="34"/>
      <c r="J32" s="126" t="s">
        <v>409</v>
      </c>
      <c r="K32" s="120" t="s">
        <v>243</v>
      </c>
      <c r="L32" s="39" t="s">
        <v>34</v>
      </c>
      <c r="M32" s="37"/>
      <c r="N32" s="39" t="s">
        <v>469</v>
      </c>
      <c r="O32" s="136" t="s">
        <v>470</v>
      </c>
      <c r="P32" s="6" t="s">
        <v>471</v>
      </c>
      <c r="Q32" s="136" t="s">
        <v>472</v>
      </c>
      <c r="R32" s="13"/>
      <c r="S32" s="36" t="s">
        <v>125</v>
      </c>
      <c r="T32" s="12" t="s">
        <v>125</v>
      </c>
      <c r="U32" s="120" t="s">
        <v>407</v>
      </c>
      <c r="V32" s="12" t="s">
        <v>468</v>
      </c>
      <c r="W32" s="6"/>
      <c r="X32" s="118"/>
    </row>
    <row r="33" ht="82.5" spans="1:24">
      <c r="A33" s="160" t="s">
        <v>47</v>
      </c>
      <c r="B33" s="160" t="s">
        <v>44</v>
      </c>
      <c r="C33" s="160" t="s">
        <v>226</v>
      </c>
      <c r="D33" s="161" t="s">
        <v>227</v>
      </c>
      <c r="E33" s="161" t="s">
        <v>122</v>
      </c>
      <c r="F33" s="161" t="s">
        <v>229</v>
      </c>
      <c r="G33" s="173" t="s">
        <v>230</v>
      </c>
      <c r="H33" s="161" t="s">
        <v>231</v>
      </c>
      <c r="I33" s="161" t="s">
        <v>84</v>
      </c>
      <c r="J33" s="126" t="s">
        <v>327</v>
      </c>
      <c r="K33" s="120" t="s">
        <v>231</v>
      </c>
      <c r="L33" s="39" t="s">
        <v>328</v>
      </c>
      <c r="M33" s="160" t="s">
        <v>31</v>
      </c>
      <c r="N33" s="39" t="s">
        <v>228</v>
      </c>
      <c r="O33" s="136" t="s">
        <v>473</v>
      </c>
      <c r="P33" s="6" t="s">
        <v>474</v>
      </c>
      <c r="Q33" s="136" t="s">
        <v>475</v>
      </c>
      <c r="R33" s="13"/>
      <c r="S33" s="36" t="s">
        <v>35</v>
      </c>
      <c r="T33" s="12" t="s">
        <v>35</v>
      </c>
      <c r="U33" s="158" t="s">
        <v>325</v>
      </c>
      <c r="V33" s="12" t="s">
        <v>476</v>
      </c>
      <c r="W33" s="6" t="s">
        <v>477</v>
      </c>
      <c r="X33" s="6" t="s">
        <v>478</v>
      </c>
    </row>
    <row r="34" ht="82.5" spans="1:24">
      <c r="A34" s="160"/>
      <c r="B34" s="160"/>
      <c r="C34" s="160"/>
      <c r="D34" s="161"/>
      <c r="E34" s="161"/>
      <c r="F34" s="161"/>
      <c r="G34" s="161"/>
      <c r="H34" s="161"/>
      <c r="I34" s="161"/>
      <c r="J34" s="8" t="s">
        <v>409</v>
      </c>
      <c r="K34" s="12" t="s">
        <v>266</v>
      </c>
      <c r="L34" s="121" t="s">
        <v>347</v>
      </c>
      <c r="M34" s="160"/>
      <c r="N34" s="6" t="s">
        <v>479</v>
      </c>
      <c r="O34" s="136" t="s">
        <v>480</v>
      </c>
      <c r="P34" s="6" t="s">
        <v>481</v>
      </c>
      <c r="Q34" s="136" t="s">
        <v>482</v>
      </c>
      <c r="R34" s="13"/>
      <c r="S34" s="36" t="s">
        <v>35</v>
      </c>
      <c r="T34" s="12" t="s">
        <v>35</v>
      </c>
      <c r="U34" s="120" t="s">
        <v>483</v>
      </c>
      <c r="V34" s="13"/>
      <c r="W34" s="12" t="s">
        <v>334</v>
      </c>
      <c r="X34" s="13"/>
    </row>
    <row r="35" ht="82.5" spans="1:22">
      <c r="A35" s="87" t="s">
        <v>25</v>
      </c>
      <c r="B35" s="162" t="s">
        <v>235</v>
      </c>
      <c r="C35" s="163"/>
      <c r="D35" s="92" t="s">
        <v>236</v>
      </c>
      <c r="E35" s="162"/>
      <c r="F35" s="81"/>
      <c r="G35" s="174"/>
      <c r="H35" s="81" t="s">
        <v>52</v>
      </c>
      <c r="I35" s="81" t="s">
        <v>102</v>
      </c>
      <c r="J35" s="180" t="s">
        <v>342</v>
      </c>
      <c r="K35" s="47" t="s">
        <v>52</v>
      </c>
      <c r="L35" s="181" t="s">
        <v>378</v>
      </c>
      <c r="M35" s="184" t="s">
        <v>31</v>
      </c>
      <c r="N35" s="47" t="s">
        <v>236</v>
      </c>
      <c r="O35" s="62" t="s">
        <v>484</v>
      </c>
      <c r="P35" s="185" t="s">
        <v>485</v>
      </c>
      <c r="Q35" s="191" t="s">
        <v>486</v>
      </c>
      <c r="S35" s="36" t="s">
        <v>35</v>
      </c>
      <c r="T35" s="12" t="s">
        <v>35</v>
      </c>
      <c r="V35" s="47" t="s">
        <v>102</v>
      </c>
    </row>
    <row r="36" ht="33" spans="1:24">
      <c r="A36" s="37"/>
      <c r="B36" s="13" t="s">
        <v>235</v>
      </c>
      <c r="C36" s="39"/>
      <c r="D36" s="120" t="s">
        <v>239</v>
      </c>
      <c r="E36" s="39"/>
      <c r="F36" s="37"/>
      <c r="G36" s="98"/>
      <c r="H36" s="37" t="s">
        <v>94</v>
      </c>
      <c r="I36" s="88" t="s">
        <v>240</v>
      </c>
      <c r="J36" s="119" t="s">
        <v>327</v>
      </c>
      <c r="K36" s="120" t="s">
        <v>94</v>
      </c>
      <c r="L36" s="121" t="s">
        <v>34</v>
      </c>
      <c r="M36" s="98"/>
      <c r="N36" s="6" t="s">
        <v>487</v>
      </c>
      <c r="O36" s="62" t="s">
        <v>488</v>
      </c>
      <c r="P36" s="62" t="s">
        <v>489</v>
      </c>
      <c r="Q36" s="139"/>
      <c r="R36" s="164"/>
      <c r="S36" s="36" t="s">
        <v>125</v>
      </c>
      <c r="T36" s="36" t="s">
        <v>125</v>
      </c>
      <c r="U36" s="120" t="s">
        <v>352</v>
      </c>
      <c r="V36" s="171"/>
      <c r="W36" s="198"/>
      <c r="X36" s="198"/>
    </row>
    <row r="37" ht="82.5" spans="1:24">
      <c r="A37" s="37" t="s">
        <v>25</v>
      </c>
      <c r="B37" s="13" t="s">
        <v>235</v>
      </c>
      <c r="C37" s="39"/>
      <c r="D37" s="37" t="s">
        <v>242</v>
      </c>
      <c r="E37" s="39"/>
      <c r="F37" s="37"/>
      <c r="G37" s="98"/>
      <c r="H37" s="37" t="s">
        <v>243</v>
      </c>
      <c r="I37" s="37" t="s">
        <v>67</v>
      </c>
      <c r="J37" s="13" t="s">
        <v>320</v>
      </c>
      <c r="K37" s="12" t="s">
        <v>243</v>
      </c>
      <c r="L37" s="121" t="s">
        <v>34</v>
      </c>
      <c r="M37" s="98"/>
      <c r="N37" s="6" t="s">
        <v>490</v>
      </c>
      <c r="O37" s="6" t="s">
        <v>491</v>
      </c>
      <c r="P37" s="6" t="s">
        <v>492</v>
      </c>
      <c r="Q37" s="136" t="s">
        <v>493</v>
      </c>
      <c r="R37" s="183"/>
      <c r="S37" s="36" t="s">
        <v>125</v>
      </c>
      <c r="T37" s="36" t="s">
        <v>35</v>
      </c>
      <c r="U37" s="120" t="s">
        <v>352</v>
      </c>
      <c r="V37" s="171" t="s">
        <v>326</v>
      </c>
      <c r="W37" s="198"/>
      <c r="X37" s="198"/>
    </row>
    <row r="38" ht="82.5" spans="1:24">
      <c r="A38" s="37" t="s">
        <v>25</v>
      </c>
      <c r="B38" s="88" t="s">
        <v>21</v>
      </c>
      <c r="C38" s="39"/>
      <c r="D38" s="120" t="s">
        <v>246</v>
      </c>
      <c r="E38" s="13"/>
      <c r="F38" s="119"/>
      <c r="G38" s="17"/>
      <c r="H38" s="37" t="s">
        <v>243</v>
      </c>
      <c r="I38" s="37" t="s">
        <v>67</v>
      </c>
      <c r="J38" s="13" t="s">
        <v>320</v>
      </c>
      <c r="K38" s="12" t="s">
        <v>363</v>
      </c>
      <c r="L38" s="121" t="s">
        <v>34</v>
      </c>
      <c r="M38" s="98"/>
      <c r="N38" s="62" t="s">
        <v>494</v>
      </c>
      <c r="O38" s="6" t="s">
        <v>495</v>
      </c>
      <c r="P38" s="6" t="s">
        <v>496</v>
      </c>
      <c r="Q38" s="145" t="s">
        <v>497</v>
      </c>
      <c r="R38" s="183"/>
      <c r="S38" s="36" t="s">
        <v>125</v>
      </c>
      <c r="T38" s="36" t="s">
        <v>125</v>
      </c>
      <c r="U38" s="120" t="s">
        <v>407</v>
      </c>
      <c r="V38" s="171" t="s">
        <v>326</v>
      </c>
      <c r="W38" s="183"/>
      <c r="X38" s="171" t="s">
        <v>498</v>
      </c>
    </row>
    <row r="39" ht="82.5" spans="1:24">
      <c r="A39" s="164" t="s">
        <v>25</v>
      </c>
      <c r="B39" s="164" t="s">
        <v>235</v>
      </c>
      <c r="C39" s="164"/>
      <c r="D39" s="164" t="s">
        <v>249</v>
      </c>
      <c r="E39" s="164"/>
      <c r="F39" s="164"/>
      <c r="G39" s="175" t="s">
        <v>65</v>
      </c>
      <c r="H39" s="164" t="s">
        <v>83</v>
      </c>
      <c r="I39" s="164" t="s">
        <v>84</v>
      </c>
      <c r="J39" s="119" t="s">
        <v>327</v>
      </c>
      <c r="K39" s="120" t="s">
        <v>83</v>
      </c>
      <c r="L39" s="123" t="s">
        <v>328</v>
      </c>
      <c r="M39" s="186"/>
      <c r="N39" s="62" t="s">
        <v>499</v>
      </c>
      <c r="O39" s="6" t="s">
        <v>500</v>
      </c>
      <c r="P39" s="6" t="s">
        <v>501</v>
      </c>
      <c r="Q39" s="145" t="s">
        <v>502</v>
      </c>
      <c r="R39" s="183"/>
      <c r="S39" s="36" t="s">
        <v>35</v>
      </c>
      <c r="T39" s="36" t="s">
        <v>35</v>
      </c>
      <c r="U39" s="120" t="s">
        <v>407</v>
      </c>
      <c r="V39" s="171" t="s">
        <v>503</v>
      </c>
      <c r="W39" s="171" t="s">
        <v>388</v>
      </c>
      <c r="X39" s="190" t="s">
        <v>504</v>
      </c>
    </row>
    <row r="40" ht="82.5" spans="1:24">
      <c r="A40" s="165"/>
      <c r="B40" s="165"/>
      <c r="C40" s="165"/>
      <c r="D40" s="165"/>
      <c r="E40" s="165"/>
      <c r="F40" s="165"/>
      <c r="G40" s="165"/>
      <c r="H40" s="165"/>
      <c r="I40" s="165"/>
      <c r="J40" s="119" t="s">
        <v>320</v>
      </c>
      <c r="K40" s="12" t="s">
        <v>363</v>
      </c>
      <c r="L40" s="123" t="s">
        <v>34</v>
      </c>
      <c r="M40" s="186"/>
      <c r="N40" s="62" t="s">
        <v>505</v>
      </c>
      <c r="O40" s="6" t="s">
        <v>506</v>
      </c>
      <c r="P40" s="6" t="s">
        <v>507</v>
      </c>
      <c r="Q40" s="145" t="s">
        <v>508</v>
      </c>
      <c r="R40" s="183"/>
      <c r="S40" s="36" t="s">
        <v>125</v>
      </c>
      <c r="T40" s="36" t="s">
        <v>125</v>
      </c>
      <c r="U40" s="120" t="s">
        <v>407</v>
      </c>
      <c r="V40" s="171" t="s">
        <v>326</v>
      </c>
      <c r="W40" s="183"/>
      <c r="X40" s="171" t="s">
        <v>509</v>
      </c>
    </row>
    <row r="41" ht="82.5" spans="1:25">
      <c r="A41" s="37"/>
      <c r="B41" s="13" t="s">
        <v>235</v>
      </c>
      <c r="C41" s="39"/>
      <c r="D41" s="80" t="s">
        <v>252</v>
      </c>
      <c r="E41" s="13"/>
      <c r="F41" s="119"/>
      <c r="G41" s="17"/>
      <c r="H41" s="12" t="s">
        <v>83</v>
      </c>
      <c r="I41" s="12" t="s">
        <v>84</v>
      </c>
      <c r="J41" s="119" t="s">
        <v>327</v>
      </c>
      <c r="K41" s="120" t="s">
        <v>83</v>
      </c>
      <c r="L41" s="123" t="s">
        <v>328</v>
      </c>
      <c r="M41" s="186"/>
      <c r="N41" s="62" t="s">
        <v>253</v>
      </c>
      <c r="O41" s="6" t="s">
        <v>510</v>
      </c>
      <c r="P41" s="6" t="s">
        <v>511</v>
      </c>
      <c r="Q41" s="145" t="s">
        <v>512</v>
      </c>
      <c r="R41" s="183"/>
      <c r="S41" s="12" t="s">
        <v>35</v>
      </c>
      <c r="T41" s="12" t="s">
        <v>125</v>
      </c>
      <c r="U41" s="120" t="s">
        <v>325</v>
      </c>
      <c r="V41" s="171" t="s">
        <v>422</v>
      </c>
      <c r="W41" s="183"/>
      <c r="X41" s="171" t="s">
        <v>513</v>
      </c>
      <c r="Y41" s="47" t="s">
        <v>514</v>
      </c>
    </row>
    <row r="42" ht="82.5" spans="1:24">
      <c r="A42" s="166" t="s">
        <v>25</v>
      </c>
      <c r="B42" s="167" t="s">
        <v>235</v>
      </c>
      <c r="C42" s="168"/>
      <c r="D42" s="169" t="s">
        <v>259</v>
      </c>
      <c r="E42" s="167"/>
      <c r="F42" s="166"/>
      <c r="G42" s="176"/>
      <c r="H42" s="177" t="s">
        <v>83</v>
      </c>
      <c r="I42" s="177" t="s">
        <v>260</v>
      </c>
      <c r="J42" s="166" t="s">
        <v>327</v>
      </c>
      <c r="K42" s="177" t="s">
        <v>83</v>
      </c>
      <c r="L42" s="182" t="s">
        <v>328</v>
      </c>
      <c r="M42" s="187"/>
      <c r="N42" s="188" t="s">
        <v>515</v>
      </c>
      <c r="O42" s="189" t="s">
        <v>516</v>
      </c>
      <c r="P42" s="189" t="s">
        <v>517</v>
      </c>
      <c r="Q42" s="192" t="s">
        <v>518</v>
      </c>
      <c r="R42" s="167"/>
      <c r="S42" s="193" t="s">
        <v>35</v>
      </c>
      <c r="T42" s="168" t="s">
        <v>35</v>
      </c>
      <c r="U42" s="177" t="s">
        <v>352</v>
      </c>
      <c r="V42" s="168" t="s">
        <v>34</v>
      </c>
      <c r="W42" s="167"/>
      <c r="X42" s="167"/>
    </row>
    <row r="43" ht="49.5" spans="1:24">
      <c r="A43" s="119" t="s">
        <v>25</v>
      </c>
      <c r="B43" s="13" t="s">
        <v>235</v>
      </c>
      <c r="C43" s="170"/>
      <c r="D43" s="88" t="s">
        <v>263</v>
      </c>
      <c r="E43" s="13"/>
      <c r="F43" s="120"/>
      <c r="G43" s="17"/>
      <c r="H43" s="120" t="s">
        <v>83</v>
      </c>
      <c r="I43" s="120" t="s">
        <v>260</v>
      </c>
      <c r="J43" s="119" t="s">
        <v>327</v>
      </c>
      <c r="K43" s="120" t="s">
        <v>83</v>
      </c>
      <c r="L43" s="123" t="s">
        <v>328</v>
      </c>
      <c r="M43" s="39"/>
      <c r="N43" s="62" t="s">
        <v>519</v>
      </c>
      <c r="O43" s="6" t="s">
        <v>520</v>
      </c>
      <c r="P43" s="6" t="s">
        <v>521</v>
      </c>
      <c r="Q43" s="136"/>
      <c r="R43" s="13"/>
      <c r="S43" s="36" t="s">
        <v>35</v>
      </c>
      <c r="T43" s="12" t="s">
        <v>35</v>
      </c>
      <c r="U43" s="120" t="s">
        <v>352</v>
      </c>
      <c r="V43" s="12" t="s">
        <v>34</v>
      </c>
      <c r="W43" s="13"/>
      <c r="X43" s="13"/>
    </row>
    <row r="44" customFormat="1" ht="63.75" spans="1:24">
      <c r="A44" s="119" t="s">
        <v>25</v>
      </c>
      <c r="B44" s="13" t="s">
        <v>235</v>
      </c>
      <c r="C44" s="170"/>
      <c r="D44" s="80" t="s">
        <v>522</v>
      </c>
      <c r="E44" s="12"/>
      <c r="F44" s="120"/>
      <c r="G44" s="98"/>
      <c r="H44" s="120" t="s">
        <v>83</v>
      </c>
      <c r="I44" s="12" t="s">
        <v>84</v>
      </c>
      <c r="J44" s="126" t="s">
        <v>327</v>
      </c>
      <c r="K44" s="120" t="s">
        <v>83</v>
      </c>
      <c r="L44" s="123" t="s">
        <v>328</v>
      </c>
      <c r="M44" s="39"/>
      <c r="N44" s="6" t="s">
        <v>523</v>
      </c>
      <c r="O44" s="12" t="s">
        <v>524</v>
      </c>
      <c r="P44" s="6" t="s">
        <v>525</v>
      </c>
      <c r="Q44" s="194" t="s">
        <v>526</v>
      </c>
      <c r="R44" s="13"/>
      <c r="S44" s="36" t="s">
        <v>35</v>
      </c>
      <c r="T44" s="12" t="s">
        <v>35</v>
      </c>
      <c r="U44" s="120" t="s">
        <v>352</v>
      </c>
      <c r="V44" s="120" t="s">
        <v>84</v>
      </c>
      <c r="W44" s="12" t="s">
        <v>477</v>
      </c>
      <c r="X44" s="13"/>
    </row>
    <row r="45" customFormat="1" ht="63.75" spans="1:24">
      <c r="A45" s="164"/>
      <c r="B45" s="12" t="s">
        <v>235</v>
      </c>
      <c r="C45" s="13"/>
      <c r="D45" s="120" t="s">
        <v>527</v>
      </c>
      <c r="E45" s="12"/>
      <c r="F45" s="120"/>
      <c r="G45" s="98"/>
      <c r="H45" s="12" t="s">
        <v>94</v>
      </c>
      <c r="I45" s="12" t="s">
        <v>84</v>
      </c>
      <c r="J45" s="126" t="s">
        <v>327</v>
      </c>
      <c r="K45" s="120" t="s">
        <v>94</v>
      </c>
      <c r="L45" s="121" t="s">
        <v>328</v>
      </c>
      <c r="M45" s="39"/>
      <c r="N45" s="6" t="s">
        <v>528</v>
      </c>
      <c r="O45" s="12" t="s">
        <v>529</v>
      </c>
      <c r="P45" s="6" t="s">
        <v>530</v>
      </c>
      <c r="Q45" s="150" t="s">
        <v>531</v>
      </c>
      <c r="R45" s="13"/>
      <c r="S45" s="12" t="s">
        <v>35</v>
      </c>
      <c r="T45" s="36" t="s">
        <v>35</v>
      </c>
      <c r="U45" s="120" t="s">
        <v>352</v>
      </c>
      <c r="V45" s="120" t="s">
        <v>532</v>
      </c>
      <c r="W45" s="12"/>
      <c r="X45" s="13"/>
    </row>
    <row r="46" ht="82.5" spans="1:24">
      <c r="A46" s="99"/>
      <c r="B46" s="13" t="s">
        <v>235</v>
      </c>
      <c r="C46" s="170"/>
      <c r="D46" s="120" t="s">
        <v>282</v>
      </c>
      <c r="E46" s="13"/>
      <c r="F46" s="120"/>
      <c r="G46" s="17"/>
      <c r="H46" s="120" t="s">
        <v>94</v>
      </c>
      <c r="I46" s="120" t="s">
        <v>33</v>
      </c>
      <c r="J46" s="126" t="s">
        <v>306</v>
      </c>
      <c r="K46" s="12" t="s">
        <v>94</v>
      </c>
      <c r="L46" s="121" t="s">
        <v>396</v>
      </c>
      <c r="M46" s="39"/>
      <c r="N46" s="6" t="s">
        <v>533</v>
      </c>
      <c r="O46" s="12" t="s">
        <v>534</v>
      </c>
      <c r="P46" s="6" t="s">
        <v>535</v>
      </c>
      <c r="Q46" s="136" t="s">
        <v>536</v>
      </c>
      <c r="R46" s="13"/>
      <c r="S46" s="36" t="s">
        <v>35</v>
      </c>
      <c r="T46" s="36" t="s">
        <v>35</v>
      </c>
      <c r="U46" s="159" t="s">
        <v>352</v>
      </c>
      <c r="V46" s="12" t="s">
        <v>445</v>
      </c>
      <c r="W46" s="12" t="s">
        <v>402</v>
      </c>
      <c r="X46" s="13"/>
    </row>
    <row r="47" ht="82.5" spans="1:24">
      <c r="A47" s="99"/>
      <c r="B47" s="171" t="s">
        <v>235</v>
      </c>
      <c r="C47" s="172"/>
      <c r="D47" s="80" t="s">
        <v>537</v>
      </c>
      <c r="E47" s="13"/>
      <c r="F47" s="120"/>
      <c r="G47" s="17"/>
      <c r="H47" s="80" t="s">
        <v>94</v>
      </c>
      <c r="I47" s="80" t="s">
        <v>33</v>
      </c>
      <c r="J47" s="126" t="s">
        <v>306</v>
      </c>
      <c r="K47" s="12" t="s">
        <v>94</v>
      </c>
      <c r="L47" s="121" t="s">
        <v>396</v>
      </c>
      <c r="M47" s="39"/>
      <c r="N47" s="6" t="s">
        <v>538</v>
      </c>
      <c r="O47" s="12" t="s">
        <v>539</v>
      </c>
      <c r="P47" s="6" t="s">
        <v>540</v>
      </c>
      <c r="Q47" s="136" t="s">
        <v>541</v>
      </c>
      <c r="R47" s="13"/>
      <c r="S47" s="36" t="s">
        <v>35</v>
      </c>
      <c r="T47" s="36" t="s">
        <v>35</v>
      </c>
      <c r="U47" s="120" t="s">
        <v>352</v>
      </c>
      <c r="V47" s="12" t="s">
        <v>445</v>
      </c>
      <c r="W47" s="12" t="s">
        <v>402</v>
      </c>
      <c r="X47" s="13"/>
    </row>
    <row r="48" ht="82.5" spans="1:24">
      <c r="A48" s="88" t="s">
        <v>25</v>
      </c>
      <c r="B48" s="88" t="s">
        <v>21</v>
      </c>
      <c r="C48" s="88" t="s">
        <v>542</v>
      </c>
      <c r="D48" s="88" t="s">
        <v>543</v>
      </c>
      <c r="E48" s="88" t="s">
        <v>29</v>
      </c>
      <c r="F48" s="88"/>
      <c r="G48" s="88"/>
      <c r="H48" s="88" t="s">
        <v>243</v>
      </c>
      <c r="I48" s="88" t="s">
        <v>67</v>
      </c>
      <c r="J48" s="8" t="s">
        <v>320</v>
      </c>
      <c r="K48" s="12" t="s">
        <v>243</v>
      </c>
      <c r="L48" s="125" t="s">
        <v>307</v>
      </c>
      <c r="M48" s="186"/>
      <c r="N48" s="6" t="s">
        <v>544</v>
      </c>
      <c r="O48" s="6" t="s">
        <v>545</v>
      </c>
      <c r="P48" s="6" t="s">
        <v>546</v>
      </c>
      <c r="Q48" s="136" t="s">
        <v>547</v>
      </c>
      <c r="R48" s="13"/>
      <c r="S48" s="36" t="s">
        <v>125</v>
      </c>
      <c r="T48" s="12" t="s">
        <v>125</v>
      </c>
      <c r="U48" s="159" t="s">
        <v>312</v>
      </c>
      <c r="V48" s="6" t="s">
        <v>326</v>
      </c>
      <c r="W48" s="12" t="s">
        <v>548</v>
      </c>
      <c r="X48" s="12" t="s">
        <v>549</v>
      </c>
    </row>
    <row r="49" ht="82.5" spans="1:24">
      <c r="A49" s="92"/>
      <c r="B49" s="92"/>
      <c r="C49" s="92"/>
      <c r="D49" s="92"/>
      <c r="E49" s="92"/>
      <c r="F49" s="92"/>
      <c r="G49" s="92"/>
      <c r="H49" s="92"/>
      <c r="I49" s="92"/>
      <c r="J49" s="8" t="s">
        <v>409</v>
      </c>
      <c r="K49" s="12" t="s">
        <v>266</v>
      </c>
      <c r="L49" s="121" t="s">
        <v>347</v>
      </c>
      <c r="M49" s="39"/>
      <c r="N49" s="8" t="s">
        <v>550</v>
      </c>
      <c r="O49" s="6" t="s">
        <v>551</v>
      </c>
      <c r="P49" s="6" t="s">
        <v>552</v>
      </c>
      <c r="Q49" s="136" t="s">
        <v>553</v>
      </c>
      <c r="R49" s="13"/>
      <c r="S49" s="141" t="s">
        <v>35</v>
      </c>
      <c r="T49" s="36" t="s">
        <v>35</v>
      </c>
      <c r="U49" s="159" t="s">
        <v>352</v>
      </c>
      <c r="V49" s="6"/>
      <c r="W49" s="12" t="s">
        <v>346</v>
      </c>
      <c r="X49" s="12"/>
    </row>
    <row r="50" ht="49.5" spans="1:24">
      <c r="A50" s="119" t="s">
        <v>25</v>
      </c>
      <c r="B50" s="92" t="s">
        <v>21</v>
      </c>
      <c r="C50" s="135" t="s">
        <v>542</v>
      </c>
      <c r="D50" s="88" t="s">
        <v>554</v>
      </c>
      <c r="E50" s="106" t="s">
        <v>180</v>
      </c>
      <c r="F50" s="88"/>
      <c r="G50" s="99" t="s">
        <v>555</v>
      </c>
      <c r="H50" s="88" t="s">
        <v>183</v>
      </c>
      <c r="I50" s="12" t="s">
        <v>84</v>
      </c>
      <c r="J50" s="8" t="s">
        <v>327</v>
      </c>
      <c r="K50" s="120" t="s">
        <v>183</v>
      </c>
      <c r="L50" s="121" t="s">
        <v>328</v>
      </c>
      <c r="M50" s="39"/>
      <c r="N50" s="6" t="s">
        <v>556</v>
      </c>
      <c r="O50" s="6" t="s">
        <v>557</v>
      </c>
      <c r="P50" s="6" t="s">
        <v>558</v>
      </c>
      <c r="Q50" s="6" t="s">
        <v>559</v>
      </c>
      <c r="R50" s="13"/>
      <c r="S50" s="141" t="s">
        <v>35</v>
      </c>
      <c r="T50" s="36" t="s">
        <v>35</v>
      </c>
      <c r="U50" s="159" t="s">
        <v>352</v>
      </c>
      <c r="V50" s="6"/>
      <c r="W50" s="12" t="s">
        <v>368</v>
      </c>
      <c r="X50" s="12"/>
    </row>
    <row r="51" ht="33" spans="1:24">
      <c r="A51" s="119" t="s">
        <v>25</v>
      </c>
      <c r="B51" s="92" t="s">
        <v>21</v>
      </c>
      <c r="C51" s="135" t="s">
        <v>542</v>
      </c>
      <c r="D51" s="88" t="s">
        <v>560</v>
      </c>
      <c r="E51" s="106" t="s">
        <v>180</v>
      </c>
      <c r="F51" s="88"/>
      <c r="G51" s="99" t="s">
        <v>555</v>
      </c>
      <c r="H51" s="88" t="s">
        <v>183</v>
      </c>
      <c r="I51" s="12" t="s">
        <v>84</v>
      </c>
      <c r="J51" s="8" t="s">
        <v>327</v>
      </c>
      <c r="K51" s="120" t="s">
        <v>183</v>
      </c>
      <c r="L51" s="121" t="s">
        <v>328</v>
      </c>
      <c r="M51" s="39"/>
      <c r="N51" s="6" t="s">
        <v>561</v>
      </c>
      <c r="O51" s="6" t="s">
        <v>562</v>
      </c>
      <c r="P51" s="6" t="s">
        <v>563</v>
      </c>
      <c r="Q51" s="6" t="s">
        <v>559</v>
      </c>
      <c r="R51" s="13"/>
      <c r="S51" s="141" t="s">
        <v>35</v>
      </c>
      <c r="T51" s="36" t="s">
        <v>35</v>
      </c>
      <c r="U51" s="159"/>
      <c r="V51" s="12" t="s">
        <v>333</v>
      </c>
      <c r="W51" s="13" t="s">
        <v>368</v>
      </c>
      <c r="X51" s="13"/>
    </row>
    <row r="52" ht="115.5" spans="1:24">
      <c r="A52" s="99" t="s">
        <v>25</v>
      </c>
      <c r="B52" s="99" t="s">
        <v>21</v>
      </c>
      <c r="C52" s="99" t="s">
        <v>542</v>
      </c>
      <c r="D52" s="99" t="s">
        <v>564</v>
      </c>
      <c r="E52" s="99"/>
      <c r="F52" s="99" t="s">
        <v>565</v>
      </c>
      <c r="G52" s="99" t="s">
        <v>566</v>
      </c>
      <c r="H52" s="99" t="s">
        <v>266</v>
      </c>
      <c r="I52" s="37" t="s">
        <v>224</v>
      </c>
      <c r="J52" s="125" t="s">
        <v>409</v>
      </c>
      <c r="K52" s="12" t="s">
        <v>266</v>
      </c>
      <c r="L52" s="39" t="s">
        <v>347</v>
      </c>
      <c r="M52" s="39"/>
      <c r="N52" s="6" t="s">
        <v>567</v>
      </c>
      <c r="O52" s="39" t="s">
        <v>568</v>
      </c>
      <c r="P52" s="6" t="s">
        <v>569</v>
      </c>
      <c r="Q52" s="136" t="s">
        <v>570</v>
      </c>
      <c r="R52" s="13"/>
      <c r="S52" s="141" t="s">
        <v>35</v>
      </c>
      <c r="T52" s="36" t="s">
        <v>35</v>
      </c>
      <c r="U52" s="158" t="s">
        <v>352</v>
      </c>
      <c r="V52" s="12" t="s">
        <v>571</v>
      </c>
      <c r="W52" s="12" t="s">
        <v>334</v>
      </c>
      <c r="X52" s="13"/>
    </row>
    <row r="53" ht="115.5" spans="1:24">
      <c r="A53" s="101"/>
      <c r="B53" s="101"/>
      <c r="C53" s="101"/>
      <c r="D53" s="101"/>
      <c r="E53" s="101"/>
      <c r="F53" s="101"/>
      <c r="G53" s="101"/>
      <c r="H53" s="101"/>
      <c r="I53" s="80" t="s">
        <v>33</v>
      </c>
      <c r="J53" s="125" t="s">
        <v>306</v>
      </c>
      <c r="K53" s="12" t="s">
        <v>266</v>
      </c>
      <c r="L53" s="39" t="s">
        <v>347</v>
      </c>
      <c r="M53" s="39"/>
      <c r="N53" s="6" t="s">
        <v>567</v>
      </c>
      <c r="O53" s="39" t="s">
        <v>568</v>
      </c>
      <c r="P53" s="6" t="s">
        <v>569</v>
      </c>
      <c r="Q53" s="136" t="s">
        <v>570</v>
      </c>
      <c r="R53" s="13"/>
      <c r="S53" s="141" t="s">
        <v>35</v>
      </c>
      <c r="T53" s="36" t="s">
        <v>35</v>
      </c>
      <c r="U53" s="158" t="s">
        <v>352</v>
      </c>
      <c r="V53" s="199" t="s">
        <v>572</v>
      </c>
      <c r="W53" s="12" t="s">
        <v>334</v>
      </c>
      <c r="X53" s="13"/>
    </row>
    <row r="54" ht="82.5" spans="1:24">
      <c r="A54" s="37" t="s">
        <v>25</v>
      </c>
      <c r="B54" s="37" t="s">
        <v>21</v>
      </c>
      <c r="C54" s="37" t="s">
        <v>542</v>
      </c>
      <c r="D54" s="120" t="s">
        <v>573</v>
      </c>
      <c r="E54" s="120"/>
      <c r="F54" s="178" t="s">
        <v>574</v>
      </c>
      <c r="G54" s="120" t="s">
        <v>575</v>
      </c>
      <c r="H54" s="120" t="s">
        <v>266</v>
      </c>
      <c r="I54" s="12" t="s">
        <v>224</v>
      </c>
      <c r="J54" s="13" t="s">
        <v>409</v>
      </c>
      <c r="K54" s="12" t="s">
        <v>266</v>
      </c>
      <c r="L54" s="121" t="s">
        <v>347</v>
      </c>
      <c r="M54" s="12"/>
      <c r="N54" s="6" t="s">
        <v>576</v>
      </c>
      <c r="O54" s="39" t="s">
        <v>577</v>
      </c>
      <c r="P54" s="6" t="s">
        <v>578</v>
      </c>
      <c r="Q54" s="136" t="s">
        <v>579</v>
      </c>
      <c r="R54" s="12"/>
      <c r="S54" s="141" t="s">
        <v>35</v>
      </c>
      <c r="T54" s="36" t="s">
        <v>35</v>
      </c>
      <c r="U54" s="158" t="s">
        <v>352</v>
      </c>
      <c r="V54" s="199" t="s">
        <v>580</v>
      </c>
      <c r="W54" s="12" t="s">
        <v>346</v>
      </c>
      <c r="X54" s="13"/>
    </row>
    <row r="55" ht="82.5" spans="1:24">
      <c r="A55" s="37" t="s">
        <v>25</v>
      </c>
      <c r="B55" s="37" t="s">
        <v>235</v>
      </c>
      <c r="C55" s="37" t="s">
        <v>542</v>
      </c>
      <c r="D55" s="120" t="s">
        <v>581</v>
      </c>
      <c r="E55" s="120"/>
      <c r="F55" s="178"/>
      <c r="G55" s="119"/>
      <c r="H55" s="120" t="s">
        <v>266</v>
      </c>
      <c r="I55" s="12" t="s">
        <v>224</v>
      </c>
      <c r="J55" s="13" t="s">
        <v>409</v>
      </c>
      <c r="K55" s="12" t="s">
        <v>266</v>
      </c>
      <c r="L55" s="125" t="s">
        <v>347</v>
      </c>
      <c r="M55" s="13"/>
      <c r="N55" s="6" t="s">
        <v>582</v>
      </c>
      <c r="O55" s="6" t="s">
        <v>583</v>
      </c>
      <c r="P55" s="6" t="s">
        <v>584</v>
      </c>
      <c r="Q55" s="136" t="s">
        <v>585</v>
      </c>
      <c r="R55" s="12"/>
      <c r="S55" s="141" t="s">
        <v>35</v>
      </c>
      <c r="T55" s="36" t="s">
        <v>35</v>
      </c>
      <c r="U55" s="158" t="s">
        <v>352</v>
      </c>
      <c r="V55" s="47" t="s">
        <v>586</v>
      </c>
      <c r="W55" s="12"/>
      <c r="X55" s="13"/>
    </row>
    <row r="56" ht="82.5" spans="1:23">
      <c r="A56" s="37" t="s">
        <v>25</v>
      </c>
      <c r="B56" s="37" t="s">
        <v>235</v>
      </c>
      <c r="C56" s="37" t="s">
        <v>542</v>
      </c>
      <c r="D56" s="8" t="s">
        <v>587</v>
      </c>
      <c r="E56" s="122"/>
      <c r="F56" s="119"/>
      <c r="G56" s="119"/>
      <c r="H56" s="120" t="s">
        <v>266</v>
      </c>
      <c r="I56" s="119" t="s">
        <v>224</v>
      </c>
      <c r="J56" s="13" t="s">
        <v>409</v>
      </c>
      <c r="K56" s="12" t="s">
        <v>266</v>
      </c>
      <c r="L56" s="125" t="s">
        <v>347</v>
      </c>
      <c r="M56" s="13"/>
      <c r="N56" s="6" t="s">
        <v>588</v>
      </c>
      <c r="O56" s="6" t="s">
        <v>589</v>
      </c>
      <c r="P56" s="6" t="s">
        <v>590</v>
      </c>
      <c r="Q56" s="136" t="s">
        <v>591</v>
      </c>
      <c r="R56" s="12"/>
      <c r="S56" s="141" t="s">
        <v>35</v>
      </c>
      <c r="T56" s="36" t="s">
        <v>35</v>
      </c>
      <c r="U56" s="158" t="s">
        <v>352</v>
      </c>
      <c r="V56" s="47" t="s">
        <v>586</v>
      </c>
      <c r="W56" s="47" t="s">
        <v>334</v>
      </c>
    </row>
    <row r="57" ht="33" spans="1:24">
      <c r="A57" s="88" t="s">
        <v>25</v>
      </c>
      <c r="B57" s="88" t="s">
        <v>235</v>
      </c>
      <c r="C57" s="88" t="s">
        <v>542</v>
      </c>
      <c r="D57" s="80" t="s">
        <v>592</v>
      </c>
      <c r="E57" s="179"/>
      <c r="F57" s="164"/>
      <c r="G57" s="164"/>
      <c r="H57" s="80" t="s">
        <v>243</v>
      </c>
      <c r="I57" s="80" t="s">
        <v>116</v>
      </c>
      <c r="J57" s="183" t="s">
        <v>414</v>
      </c>
      <c r="K57" s="171" t="s">
        <v>243</v>
      </c>
      <c r="L57" s="123" t="s">
        <v>328</v>
      </c>
      <c r="M57" s="183"/>
      <c r="N57" s="171" t="s">
        <v>593</v>
      </c>
      <c r="O57" s="190" t="s">
        <v>276</v>
      </c>
      <c r="P57" s="190"/>
      <c r="Q57" s="195"/>
      <c r="R57" s="183"/>
      <c r="S57" s="196"/>
      <c r="T57" s="197"/>
      <c r="U57" s="200"/>
      <c r="V57" s="12" t="s">
        <v>594</v>
      </c>
      <c r="W57" s="13"/>
      <c r="X57" s="13"/>
    </row>
    <row r="58" ht="82.5" spans="1:24">
      <c r="A58" s="37" t="s">
        <v>25</v>
      </c>
      <c r="B58" s="37" t="s">
        <v>235</v>
      </c>
      <c r="C58" s="37" t="s">
        <v>542</v>
      </c>
      <c r="D58" s="8" t="s">
        <v>595</v>
      </c>
      <c r="E58" s="37" t="s">
        <v>29</v>
      </c>
      <c r="F58" s="119"/>
      <c r="G58" s="17"/>
      <c r="H58" s="107" t="s">
        <v>32</v>
      </c>
      <c r="I58" s="120" t="s">
        <v>33</v>
      </c>
      <c r="J58" s="125" t="s">
        <v>306</v>
      </c>
      <c r="K58" s="12" t="s">
        <v>32</v>
      </c>
      <c r="L58" s="39" t="s">
        <v>307</v>
      </c>
      <c r="M58" s="13"/>
      <c r="N58" s="6" t="s">
        <v>596</v>
      </c>
      <c r="O58" s="6" t="s">
        <v>597</v>
      </c>
      <c r="P58" s="6" t="s">
        <v>598</v>
      </c>
      <c r="Q58" s="136" t="s">
        <v>599</v>
      </c>
      <c r="R58" s="13"/>
      <c r="S58" s="121"/>
      <c r="T58" s="13"/>
      <c r="U58" s="119"/>
      <c r="V58" s="12" t="s">
        <v>340</v>
      </c>
      <c r="W58" s="12" t="s">
        <v>548</v>
      </c>
      <c r="X58" s="13"/>
    </row>
    <row r="59" ht="82.5" spans="1:24">
      <c r="A59" s="37" t="s">
        <v>25</v>
      </c>
      <c r="B59" s="37" t="s">
        <v>235</v>
      </c>
      <c r="C59" s="37" t="s">
        <v>542</v>
      </c>
      <c r="D59" s="8" t="s">
        <v>600</v>
      </c>
      <c r="E59" s="37" t="s">
        <v>29</v>
      </c>
      <c r="F59" s="119"/>
      <c r="G59" s="17"/>
      <c r="H59" s="107" t="s">
        <v>32</v>
      </c>
      <c r="I59" s="120" t="s">
        <v>33</v>
      </c>
      <c r="J59" s="125" t="s">
        <v>306</v>
      </c>
      <c r="K59" s="12" t="s">
        <v>32</v>
      </c>
      <c r="L59" s="39" t="s">
        <v>601</v>
      </c>
      <c r="M59" s="13"/>
      <c r="N59" s="6" t="s">
        <v>602</v>
      </c>
      <c r="O59" s="6" t="s">
        <v>603</v>
      </c>
      <c r="P59" s="6" t="s">
        <v>604</v>
      </c>
      <c r="Q59" s="136" t="s">
        <v>599</v>
      </c>
      <c r="R59" s="13"/>
      <c r="S59" s="121"/>
      <c r="T59" s="13"/>
      <c r="U59" s="119"/>
      <c r="V59" s="12" t="s">
        <v>559</v>
      </c>
      <c r="W59" s="12" t="s">
        <v>314</v>
      </c>
      <c r="X59" s="13"/>
    </row>
    <row r="60" ht="82.5" spans="1:24">
      <c r="A60" s="37" t="s">
        <v>25</v>
      </c>
      <c r="B60" s="37" t="s">
        <v>235</v>
      </c>
      <c r="C60" s="37" t="s">
        <v>542</v>
      </c>
      <c r="D60" s="8" t="s">
        <v>605</v>
      </c>
      <c r="E60" s="122"/>
      <c r="F60" s="119"/>
      <c r="G60" s="119"/>
      <c r="H60" s="120" t="s">
        <v>266</v>
      </c>
      <c r="I60" s="119" t="s">
        <v>224</v>
      </c>
      <c r="J60" s="13" t="s">
        <v>409</v>
      </c>
      <c r="K60" s="12" t="s">
        <v>266</v>
      </c>
      <c r="L60" s="125" t="s">
        <v>347</v>
      </c>
      <c r="M60" s="13"/>
      <c r="N60" s="6" t="s">
        <v>606</v>
      </c>
      <c r="O60" s="6" t="s">
        <v>607</v>
      </c>
      <c r="P60" s="6" t="s">
        <v>608</v>
      </c>
      <c r="Q60" s="136" t="s">
        <v>609</v>
      </c>
      <c r="R60" s="12"/>
      <c r="S60" s="141" t="s">
        <v>35</v>
      </c>
      <c r="T60" s="36" t="s">
        <v>35</v>
      </c>
      <c r="U60" s="158" t="s">
        <v>352</v>
      </c>
      <c r="V60" s="12" t="s">
        <v>586</v>
      </c>
      <c r="W60" s="12" t="s">
        <v>334</v>
      </c>
      <c r="X60" s="13"/>
    </row>
    <row r="61" ht="82.5" spans="1:24">
      <c r="A61" s="120" t="s">
        <v>47</v>
      </c>
      <c r="B61" s="120" t="s">
        <v>235</v>
      </c>
      <c r="C61" s="8" t="s">
        <v>542</v>
      </c>
      <c r="D61" s="8" t="s">
        <v>610</v>
      </c>
      <c r="E61" s="122"/>
      <c r="F61" s="119"/>
      <c r="G61" s="119"/>
      <c r="H61" s="119" t="s">
        <v>224</v>
      </c>
      <c r="I61" s="119" t="s">
        <v>224</v>
      </c>
      <c r="J61" s="12" t="s">
        <v>409</v>
      </c>
      <c r="K61" s="119" t="s">
        <v>224</v>
      </c>
      <c r="L61" s="121" t="s">
        <v>328</v>
      </c>
      <c r="M61" s="13"/>
      <c r="N61" s="12" t="s">
        <v>611</v>
      </c>
      <c r="O61" s="118" t="s">
        <v>612</v>
      </c>
      <c r="P61" s="6" t="s">
        <v>613</v>
      </c>
      <c r="Q61" s="136" t="s">
        <v>614</v>
      </c>
      <c r="R61" s="12"/>
      <c r="S61" s="121" t="s">
        <v>35</v>
      </c>
      <c r="T61" s="12" t="s">
        <v>35</v>
      </c>
      <c r="U61" s="158" t="s">
        <v>352</v>
      </c>
      <c r="V61" s="12" t="s">
        <v>615</v>
      </c>
      <c r="W61" s="13"/>
      <c r="X61" s="13"/>
    </row>
    <row r="62" ht="64.15" customHeight="1" spans="1:24">
      <c r="A62" s="88" t="s">
        <v>25</v>
      </c>
      <c r="B62" s="88" t="s">
        <v>235</v>
      </c>
      <c r="C62" s="88" t="s">
        <v>542</v>
      </c>
      <c r="D62" s="80" t="s">
        <v>616</v>
      </c>
      <c r="E62" s="179"/>
      <c r="F62" s="164"/>
      <c r="G62" s="164"/>
      <c r="H62" s="80" t="s">
        <v>243</v>
      </c>
      <c r="I62" s="80" t="s">
        <v>116</v>
      </c>
      <c r="J62" s="183" t="s">
        <v>414</v>
      </c>
      <c r="K62" s="171" t="s">
        <v>243</v>
      </c>
      <c r="L62" s="123" t="s">
        <v>328</v>
      </c>
      <c r="M62" s="183"/>
      <c r="N62" s="171" t="s">
        <v>616</v>
      </c>
      <c r="O62" s="190"/>
      <c r="P62" s="190"/>
      <c r="Q62" s="195"/>
      <c r="R62" s="183"/>
      <c r="S62" s="196" t="s">
        <v>35</v>
      </c>
      <c r="T62" s="197" t="s">
        <v>35</v>
      </c>
      <c r="U62" s="80" t="s">
        <v>352</v>
      </c>
      <c r="V62" s="12" t="s">
        <v>594</v>
      </c>
      <c r="W62" s="12" t="s">
        <v>617</v>
      </c>
      <c r="X62" s="13"/>
    </row>
    <row r="63" ht="82.5" spans="1:24">
      <c r="A63" s="37" t="s">
        <v>25</v>
      </c>
      <c r="B63" s="120" t="s">
        <v>235</v>
      </c>
      <c r="C63" s="8" t="s">
        <v>542</v>
      </c>
      <c r="D63" s="8" t="s">
        <v>618</v>
      </c>
      <c r="E63" s="122"/>
      <c r="F63" s="119"/>
      <c r="G63" s="119"/>
      <c r="H63" s="119" t="s">
        <v>224</v>
      </c>
      <c r="I63" s="120" t="s">
        <v>580</v>
      </c>
      <c r="J63" s="12" t="s">
        <v>409</v>
      </c>
      <c r="K63" s="119" t="s">
        <v>224</v>
      </c>
      <c r="L63" s="121" t="s">
        <v>34</v>
      </c>
      <c r="M63" s="13"/>
      <c r="N63" s="12" t="s">
        <v>619</v>
      </c>
      <c r="O63" s="118"/>
      <c r="P63" s="118"/>
      <c r="Q63" s="136" t="s">
        <v>620</v>
      </c>
      <c r="R63" s="13"/>
      <c r="S63" s="121" t="s">
        <v>125</v>
      </c>
      <c r="T63" s="121" t="s">
        <v>125</v>
      </c>
      <c r="U63" s="119"/>
      <c r="V63" s="13"/>
      <c r="W63" s="13"/>
      <c r="X63" s="13"/>
    </row>
    <row r="64" ht="82.5" spans="1:24">
      <c r="A64" s="37" t="s">
        <v>25</v>
      </c>
      <c r="B64" s="120" t="s">
        <v>235</v>
      </c>
      <c r="C64" s="8" t="s">
        <v>542</v>
      </c>
      <c r="D64" s="8" t="s">
        <v>621</v>
      </c>
      <c r="E64" s="122"/>
      <c r="F64" s="119"/>
      <c r="G64" s="119"/>
      <c r="H64" s="120" t="s">
        <v>94</v>
      </c>
      <c r="I64" s="120" t="s">
        <v>334</v>
      </c>
      <c r="J64" s="12" t="s">
        <v>327</v>
      </c>
      <c r="K64" s="120" t="s">
        <v>94</v>
      </c>
      <c r="L64" s="123" t="s">
        <v>347</v>
      </c>
      <c r="M64" s="13"/>
      <c r="N64" s="12" t="s">
        <v>622</v>
      </c>
      <c r="O64" s="118" t="s">
        <v>623</v>
      </c>
      <c r="P64" s="6" t="s">
        <v>624</v>
      </c>
      <c r="Q64" s="136" t="s">
        <v>625</v>
      </c>
      <c r="R64" s="13"/>
      <c r="S64" s="123" t="s">
        <v>35</v>
      </c>
      <c r="T64" s="123" t="s">
        <v>35</v>
      </c>
      <c r="U64" s="80" t="s">
        <v>352</v>
      </c>
      <c r="V64" s="13"/>
      <c r="W64" s="12" t="s">
        <v>334</v>
      </c>
      <c r="X64" s="13"/>
    </row>
    <row r="65" ht="33" spans="1:24">
      <c r="A65" s="37" t="s">
        <v>25</v>
      </c>
      <c r="B65" s="120" t="s">
        <v>235</v>
      </c>
      <c r="C65" s="8" t="s">
        <v>542</v>
      </c>
      <c r="D65" s="8" t="s">
        <v>626</v>
      </c>
      <c r="E65" s="122"/>
      <c r="F65" s="119"/>
      <c r="G65" s="119"/>
      <c r="H65" s="120" t="s">
        <v>32</v>
      </c>
      <c r="I65" s="120" t="s">
        <v>368</v>
      </c>
      <c r="J65" s="12" t="s">
        <v>327</v>
      </c>
      <c r="K65" s="120" t="s">
        <v>32</v>
      </c>
      <c r="L65" s="123" t="s">
        <v>328</v>
      </c>
      <c r="M65" s="13"/>
      <c r="N65" s="12" t="s">
        <v>627</v>
      </c>
      <c r="O65" s="6" t="s">
        <v>628</v>
      </c>
      <c r="P65" s="6" t="s">
        <v>629</v>
      </c>
      <c r="Q65" s="118"/>
      <c r="R65" s="13"/>
      <c r="S65" s="196" t="s">
        <v>35</v>
      </c>
      <c r="T65" s="196" t="s">
        <v>35</v>
      </c>
      <c r="U65" s="120" t="s">
        <v>352</v>
      </c>
      <c r="V65" s="13"/>
      <c r="W65" s="13"/>
      <c r="X65" s="13"/>
    </row>
    <row r="66" ht="66" spans="1:24">
      <c r="A66" s="37" t="s">
        <v>25</v>
      </c>
      <c r="B66" s="120" t="s">
        <v>235</v>
      </c>
      <c r="C66" s="8" t="s">
        <v>542</v>
      </c>
      <c r="D66" s="8" t="s">
        <v>630</v>
      </c>
      <c r="E66" s="122"/>
      <c r="F66" s="119"/>
      <c r="G66" s="119"/>
      <c r="H66" s="120" t="s">
        <v>243</v>
      </c>
      <c r="I66" s="120" t="s">
        <v>67</v>
      </c>
      <c r="J66" s="12" t="s">
        <v>320</v>
      </c>
      <c r="K66" s="120" t="s">
        <v>243</v>
      </c>
      <c r="L66" s="123" t="s">
        <v>34</v>
      </c>
      <c r="M66" s="13"/>
      <c r="N66" s="6" t="s">
        <v>631</v>
      </c>
      <c r="O66" s="6" t="s">
        <v>632</v>
      </c>
      <c r="P66" s="6" t="s">
        <v>633</v>
      </c>
      <c r="Q66" s="118"/>
      <c r="R66" s="13"/>
      <c r="S66" s="196" t="s">
        <v>125</v>
      </c>
      <c r="T66" s="196" t="s">
        <v>125</v>
      </c>
      <c r="U66" s="120" t="s">
        <v>407</v>
      </c>
      <c r="V66" s="13"/>
      <c r="W66" s="13"/>
      <c r="X66" s="13"/>
    </row>
    <row r="67" customFormat="1" ht="49.5" spans="1:24">
      <c r="A67" s="37" t="s">
        <v>25</v>
      </c>
      <c r="B67" s="120" t="s">
        <v>235</v>
      </c>
      <c r="C67" s="8" t="s">
        <v>542</v>
      </c>
      <c r="D67" s="8" t="s">
        <v>634</v>
      </c>
      <c r="E67" s="122"/>
      <c r="F67" s="119"/>
      <c r="G67" s="119"/>
      <c r="H67" s="120" t="s">
        <v>243</v>
      </c>
      <c r="I67" s="120" t="s">
        <v>67</v>
      </c>
      <c r="J67" s="12" t="s">
        <v>320</v>
      </c>
      <c r="K67" s="120" t="s">
        <v>635</v>
      </c>
      <c r="L67" s="123" t="s">
        <v>34</v>
      </c>
      <c r="M67" s="13"/>
      <c r="N67" s="6" t="s">
        <v>636</v>
      </c>
      <c r="O67" s="6" t="s">
        <v>637</v>
      </c>
      <c r="P67" s="6" t="s">
        <v>638</v>
      </c>
      <c r="Q67" s="136" t="s">
        <v>639</v>
      </c>
      <c r="R67" s="13"/>
      <c r="S67" s="196" t="s">
        <v>35</v>
      </c>
      <c r="T67" s="196" t="s">
        <v>35</v>
      </c>
      <c r="U67" s="120" t="s">
        <v>352</v>
      </c>
      <c r="V67" s="13"/>
      <c r="W67" s="13"/>
      <c r="X67" s="13"/>
    </row>
  </sheetData>
  <sheetProtection formatCells="0" insertHyperlinks="0" autoFilter="0"/>
  <autoFilter xmlns:etc="http://www.wps.cn/officeDocument/2017/etCustomData" ref="A2:X67" etc:filterBottomFollowUsedRange="1">
    <extLst/>
  </autoFilter>
  <mergeCells count="113">
    <mergeCell ref="J1:U1"/>
    <mergeCell ref="V1:X1"/>
    <mergeCell ref="A4:A5"/>
    <mergeCell ref="A6:A9"/>
    <mergeCell ref="A10:A12"/>
    <mergeCell ref="A13:A14"/>
    <mergeCell ref="A19:A21"/>
    <mergeCell ref="A22:A23"/>
    <mergeCell ref="A28:A29"/>
    <mergeCell ref="A31:A32"/>
    <mergeCell ref="A33:A34"/>
    <mergeCell ref="A39:A40"/>
    <mergeCell ref="A48:A49"/>
    <mergeCell ref="A52:A53"/>
    <mergeCell ref="B4:B5"/>
    <mergeCell ref="B6:B9"/>
    <mergeCell ref="B10:B12"/>
    <mergeCell ref="B13:B14"/>
    <mergeCell ref="B19:B21"/>
    <mergeCell ref="B22:B23"/>
    <mergeCell ref="B28:B29"/>
    <mergeCell ref="B31:B32"/>
    <mergeCell ref="B33:B34"/>
    <mergeCell ref="B39:B40"/>
    <mergeCell ref="B48:B49"/>
    <mergeCell ref="B52:B53"/>
    <mergeCell ref="C4:C5"/>
    <mergeCell ref="C6:C9"/>
    <mergeCell ref="C10:C12"/>
    <mergeCell ref="C13:C14"/>
    <mergeCell ref="C19:C21"/>
    <mergeCell ref="C22:C23"/>
    <mergeCell ref="C28:C29"/>
    <mergeCell ref="C31:C32"/>
    <mergeCell ref="C33:C34"/>
    <mergeCell ref="C39:C40"/>
    <mergeCell ref="C48:C49"/>
    <mergeCell ref="C52:C53"/>
    <mergeCell ref="D4:D5"/>
    <mergeCell ref="D6:D9"/>
    <mergeCell ref="D10:D12"/>
    <mergeCell ref="D13:D14"/>
    <mergeCell ref="D19:D21"/>
    <mergeCell ref="D22:D23"/>
    <mergeCell ref="D28:D29"/>
    <mergeCell ref="D31:D32"/>
    <mergeCell ref="D33:D34"/>
    <mergeCell ref="D39:D40"/>
    <mergeCell ref="D48:D49"/>
    <mergeCell ref="D52:D53"/>
    <mergeCell ref="E4:E5"/>
    <mergeCell ref="E6:E9"/>
    <mergeCell ref="E10:E12"/>
    <mergeCell ref="E13:E14"/>
    <mergeCell ref="E19:E21"/>
    <mergeCell ref="E22:E23"/>
    <mergeCell ref="E28:E29"/>
    <mergeCell ref="E31:E32"/>
    <mergeCell ref="E33:E34"/>
    <mergeCell ref="E39:E40"/>
    <mergeCell ref="E48:E49"/>
    <mergeCell ref="E52:E53"/>
    <mergeCell ref="F4:F5"/>
    <mergeCell ref="F6:F9"/>
    <mergeCell ref="F10:F12"/>
    <mergeCell ref="F13:F14"/>
    <mergeCell ref="F19:F21"/>
    <mergeCell ref="F22:F23"/>
    <mergeCell ref="F28:F29"/>
    <mergeCell ref="F31:F32"/>
    <mergeCell ref="F33:F34"/>
    <mergeCell ref="F39:F40"/>
    <mergeCell ref="F48:F49"/>
    <mergeCell ref="F52:F53"/>
    <mergeCell ref="G4:G5"/>
    <mergeCell ref="G6:G9"/>
    <mergeCell ref="G10:G12"/>
    <mergeCell ref="G13:G14"/>
    <mergeCell ref="G19:G21"/>
    <mergeCell ref="G22:G23"/>
    <mergeCell ref="G28:G29"/>
    <mergeCell ref="G31:G32"/>
    <mergeCell ref="G33:G34"/>
    <mergeCell ref="G39:G40"/>
    <mergeCell ref="G48:G49"/>
    <mergeCell ref="G52:G53"/>
    <mergeCell ref="H4:H5"/>
    <mergeCell ref="H6:H9"/>
    <mergeCell ref="H10:H12"/>
    <mergeCell ref="H13:H14"/>
    <mergeCell ref="H19:H21"/>
    <mergeCell ref="H22:H23"/>
    <mergeCell ref="H28:H29"/>
    <mergeCell ref="H31:H32"/>
    <mergeCell ref="H33:H34"/>
    <mergeCell ref="H39:H40"/>
    <mergeCell ref="H48:H49"/>
    <mergeCell ref="H52:H53"/>
    <mergeCell ref="I4:I5"/>
    <mergeCell ref="I6:I9"/>
    <mergeCell ref="I10:I12"/>
    <mergeCell ref="I13:I14"/>
    <mergeCell ref="I19:I21"/>
    <mergeCell ref="I22:I23"/>
    <mergeCell ref="I28:I29"/>
    <mergeCell ref="I31:I32"/>
    <mergeCell ref="I33:I34"/>
    <mergeCell ref="I39:I40"/>
    <mergeCell ref="I48:I49"/>
    <mergeCell ref="M33:M34"/>
    <mergeCell ref="Q13:Q14"/>
    <mergeCell ref="R6:R9"/>
    <mergeCell ref="R28:R29"/>
  </mergeCells>
  <dataValidations count="3">
    <dataValidation type="list" allowBlank="1" showErrorMessage="1" errorTitle="错误提示" error="请输入下拉列表中的值" id="{a24475e9-2440-487d-8b60-bcce40f9da1c}" sqref="L3:L66" errorStyle="information">
      <formula1>"交易员工作站,风险管理工作站,场外运营端（web）,场外对客Web端,展业工作站（web）,投顾平台（web）,Headsbos,场外量化终端,LAMP,RDS,无,待定"</formula1>
    </dataValidation>
    <dataValidation type="list" allowBlank="1" showErrorMessage="1" errorTitle="错误提示" error="请输入下拉列表中的值" id="{5543fad6-de82-49ba-b44f-49595aefac6e}" sqref="J3:J67" errorStyle="information">
      <formula1>"策略平台,估值及风险计量,交易,客需/交易后,平台,数据服务"</formula1>
    </dataValidation>
    <dataValidation type="list" allowBlank="1" showErrorMessage="1" errorTitle="错误提示" error="请输入下拉列表中的值" sqref="S51:T51 T60 S2:S35 S42:S44 S46:S50 S52:S1048576 T6:T8 T14:T15 T45:T47 T49:T50 T52:T57 T62:T67 S36:T40">
      <formula1>"是,否"</formula1>
    </dataValidation>
  </dataValidations>
  <hyperlinks>
    <hyperlink ref="C10" r:id="rId1" display="FICCHEADS-1180" tooltip="http://jira.htzq.htsc.com.cn/browse/FICCHEADS-1180"/>
    <hyperlink ref="C6" r:id="rId2" display="FICCHEADS-1167" tooltip="http://jira.htzq.htsc.com.cn/browse/FICCHEADS-1167"/>
    <hyperlink ref="C15" r:id="rId3" display="FICCHEADS-1097" tooltip="http://jira.htzq.htsc.com.cn/browse/FICCHEADS-1097"/>
    <hyperlink ref="C17" r:id="rId4" display="FICCHEADS-1136" tooltip="http://jira.htzq.htsc.com.cn/browse/FICCHEADS-1136"/>
    <hyperlink ref="C16" r:id="rId5" display="FICCHEADS-1099" tooltip="http://jira.htzq.htsc.com.cn/browse/FICCHEADS-1099"/>
    <hyperlink ref="C4" r:id="rId6" display="FICCHEADS-1124" tooltip="http://jira.htzq.htsc.com.cn/browse/FICCHEADS-1124"/>
    <hyperlink ref="C13" r:id="rId7" display="FICCHEADS-873" tooltip="http://jira.htzq.htsc.com.cn/browse/FICCHEADS-873"/>
    <hyperlink ref="C3" r:id="rId8" display="FICCHEADS-1127" tooltip="http://jira.htzq.htsc.com.cn/browse/FICCHEADS-1127"/>
    <hyperlink ref="C19" r:id="rId9" display="FICCHEADS-812"/>
    <hyperlink ref="C18" r:id="rId10" display="FICCHEADS-1082"/>
    <hyperlink ref="C27" r:id="rId11" display="FICCHEADS-1096" tooltip="http://jira.htzq.htsc.com.cn/browse/FICCHEADS-1096"/>
    <hyperlink ref="C22" r:id="rId12" display="FICCHEADS-1140"/>
    <hyperlink ref="C24" r:id="rId13" display="FICCHEADS-1189"/>
    <hyperlink ref="C25" r:id="rId14" display="FICCHEADS-1194"/>
    <hyperlink ref="C26" r:id="rId15" display="FICCHEADS-1149"/>
    <hyperlink ref="C31" r:id="rId16" location="/main/workflow/req?requestid=7032267&amp;_workflowid=12522&amp;f_weaver_belongto_userid=71200&amp;isovertime=0&amp;preloadkey=1766547325376&amp;timestamp=1766547325376&amp;_key=k4e1cq" display="IT需求申请风20250905559247"/>
    <hyperlink ref="C33" r:id="rId17" display="FICCHEADS-1168" tooltip="http://jira.htzq.htsc.com.cn/browse/FICCHEADS-1168"/>
    <hyperlink ref="Q27" r:id="rId18" display="http://wiki.htzq.htsc.com.cn/pages/viewpage.action?pageId=292966089"/>
    <hyperlink ref="Q46" r:id="rId19" display="http://wiki.htzq.htsc.com.cn/pages/viewpage.action?pageId=453508105" tooltip="http://wiki.htzq.htsc.com.cn/pages/viewpage.action?pageId=453508105"/>
    <hyperlink ref="Q10" r:id="rId20" display="http://wiki.htzq.htsc.com.cn/pages/viewpage.action?pageId=441280821"/>
    <hyperlink ref="O33" r:id="rId21" display="FICC-91766" tooltip="http://jira.htzq.htsc.com.cn/browse/FICC-91766"/>
    <hyperlink ref="Q5" r:id="rId22" display="http://wiki.htzq.htsc.com.cn/pages/viewpage.action?pageId=452870601"/>
    <hyperlink ref="Q12" r:id="rId23" display="http://wiki.htzq.htsc.com.cn/pages/viewpage.action?pageId=432902954" tooltip="http://wiki.htzq.htsc.com.cn/pages/viewpage.action?pageId=432902954"/>
    <hyperlink ref="Q16" r:id="rId24" display="http://wiki.htzq.htsc.com.cn/pages/viewpage.action?pageId=448024248"/>
    <hyperlink ref="Q18" r:id="rId25" display="http://wiki.htzq.htsc.com.cn/pages/viewpage.action?pageId=444859437"/>
    <hyperlink ref="Q23" r:id="rId26" display="http://wiki.htzq.htsc.com.cn/pages/viewpage.action?pageId=422007883" tooltip="http://wiki.htzq.htsc.com.cn/pages/viewpage.action?pageId=422007883"/>
    <hyperlink ref="Q37" r:id="rId27" display="http://wiki.htzq.htsc.com.cn/pages/viewpage.action?pageId=453486175"/>
    <hyperlink ref="Q38" r:id="rId28" display="http://wiki.htzq.htsc.com.cn/pages/viewpage.action?pageId=453500273" tooltip="http://wiki.htzq.htsc.com.cn/pages/viewpage.action?pageId=453500273"/>
    <hyperlink ref="P38" r:id="rId28" display="【主需求】接入资讯中心彭博交易日历和结算日历" tooltip="http://wiki.htzq.htsc.com.cn/pages/viewpage.action?pageId=453500273"/>
    <hyperlink ref="Q48" r:id="rId29" display="http://wiki.htzq.htsc.com.cn/pages/viewpage.action?pageId=452350299"/>
    <hyperlink ref="Q19" r:id="rId30" display="http://wiki.htzq.htsc.com.cn/pages/viewpage.action?pageId=452334885"/>
    <hyperlink ref="Q20" r:id="rId30" display="http://wiki.htzq.htsc.com.cn/pages/viewpage.action?pageId=452334885"/>
    <hyperlink ref="Q21" r:id="rId30" display="http://wiki.htzq.htsc.com.cn/pages/viewpage.action?pageId=452334885"/>
    <hyperlink ref="Q17" r:id="rId31" display="http://wiki.htzq.htsc.com.cn/pages/viewpage.action?pageId=391885489"/>
    <hyperlink ref="Q8" r:id="rId32" display="http://wiki.htzq.htsc.com.cn/pages/viewpage.action?pageId=424315538"/>
    <hyperlink ref="Q7" r:id="rId32" display="http://wiki.htzq.htsc.com.cn/pages/viewpage.action?pageId=424315538"/>
    <hyperlink ref="Q47" r:id="rId33" display="http://wiki.htzq.htsc.com.cn/pages/viewpage.action?pageId=437472062"/>
    <hyperlink ref="Q35" r:id="rId34" display="http://wiki.htzq.htsc.com.cn/pages/viewpage.action?pageId=453497008"/>
    <hyperlink ref="Q45" r:id="rId35" display="http://wiki.htzq.htsc.com.cn/pages/viewpage.action?pageId=444301602" tooltip="http://wiki.htzq.htsc.com.cn/pages/viewpage.action?pageId=444301602"/>
    <hyperlink ref="Q25" r:id="rId36" display="http://wiki.htzq.htsc.com.cn/pages/viewpage.action?pageId=450074118" tooltip="http://wiki.htzq.htsc.com.cn/pages/viewpage.action?pageId=450074118"/>
    <hyperlink ref="Q49" r:id="rId37" display="http://wiki.htzq.htsc.com.cn/pages/viewpage.action?pageId=453495134"/>
    <hyperlink ref="Q54" r:id="rId38" display="http://wiki.htzq.htsc.com.cn/pages/viewpage.action?pageId=453496226"/>
    <hyperlink ref="Q55" r:id="rId39" display="http://wiki.htzq.htsc.com.cn/pages/viewpage.action?pageId=454072834"/>
    <hyperlink ref="Q56" r:id="rId40" display="http://wiki.htzq.htsc.com.cn/pages/viewpage.action?pageId=454066485"/>
    <hyperlink ref="Q22" r:id="rId41" display="http://wiki.htzq.htsc.com.cn/pages/viewpage.action?pageId=438196306"/>
    <hyperlink ref="Q39" r:id="rId42" display="http://wiki.htzq.htsc.com.cn/pages/viewpage.action?pageId=449428742"/>
    <hyperlink ref="Q41" r:id="rId43" display="http://wiki.htzq.htsc.com.cn/pages/viewpage.action?pageId=430998512"/>
    <hyperlink ref="Q42" r:id="rId44" display="http://wiki.htzq.htsc.com.cn/pages/viewpage.action?pageId=451236933" tooltip="http://wiki.htzq.htsc.com.cn/pages/viewpage.action?pageId=451236933"/>
    <hyperlink ref="C28" r:id="rId45" display="FICCHEADS-1197" tooltip="http://jira.htzq.htsc.com.cn/browse/FICCHEADS-1197"/>
    <hyperlink ref="C30" r:id="rId46" display="IT需求申请资运20251224590060"/>
    <hyperlink ref="Q44" r:id="rId47" display="http://wiki.htzq.htsc.com.cn/pages/viewpage.action?pageId=453493816"/>
    <hyperlink ref="Q31" r:id="rId48" display="http://wiki.htzq.htsc.com.cn/pages/viewpage.action?pageId=453483976"/>
    <hyperlink ref="Q13" r:id="rId49" display="http://wiki.htzq.htsc.com.cn/pages/viewpage.action?pageId=450101163"/>
    <hyperlink ref="Q4" r:id="rId50" display="http://wiki.htzq.htsc.com.cn/pages/viewpage.action?pageId=437466519"/>
    <hyperlink ref="Q28" r:id="rId51" display="http://wiki.htzq.htsc.com.cn/x/raAaGw" tooltip="http://wiki.htzq.htsc.com.cn/x/raAaGw"/>
    <hyperlink ref="Q30" r:id="rId52" display="http://wiki.htzq.htsc.com.cn/x/VaQaGw" tooltip="http://wiki.htzq.htsc.com.cn/x/VaQaGw"/>
    <hyperlink ref="Q11" r:id="rId53" display="http://wiki.htzq.htsc.com.cn/pages/viewpage.action?pageId=424337370"/>
    <hyperlink ref="Q24" r:id="rId54" display="http://wiki.htzq.htsc.com.cn/pages/viewpage.action?pageId=341393953" tooltip="http://wiki.htzq.htsc.com.cn/pages/viewpage.action?pageId=341393953"/>
    <hyperlink ref="Q60" r:id="rId55" display="http://wiki.htzq.htsc.com.cn/pages/viewpage.action?pageId=378271671"/>
    <hyperlink ref="Q61" r:id="rId56" display="http://wiki.htzq.htsc.com.cn/pages/viewpage.action?pageId=450076387" tooltip="http://wiki.htzq.htsc.com.cn/pages/viewpage.action?pageId=450076387"/>
    <hyperlink ref="Q26" r:id="rId57" display="http://wiki.htzq.htsc.com.cn/pages/viewpage.action?pageId=454734722"/>
    <hyperlink ref="Q33" r:id="rId58" display="http://wiki.htzq.htsc.com.cn/pages/viewpage.action?pageId=454746429" tooltip="http://wiki.htzq.htsc.com.cn/pages/viewpage.action?pageId=454746429"/>
    <hyperlink ref="Q63" r:id="rId59" display="http://wiki.htzq.htsc.com.cn/pages/viewpage.action?pageId=451220308"/>
    <hyperlink ref="Q34" r:id="rId60" display="http://wiki.htzq.htsc.com.cn/pages/viewpage.action?pageId=454748222"/>
    <hyperlink ref="O34" r:id="rId61" display="http://jira.htzq.htsc.com.cn/browse/FICC-92016"/>
    <hyperlink ref="Q3" r:id="rId62" display="http://wiki.htzq.htsc.com.cn/pages/viewpage.action?pageId=455313229"/>
    <hyperlink ref="Q9" r:id="rId63" display="http://wiki.htzq.htsc.com.cn/pages/viewpage.action?pageId=454751422"/>
    <hyperlink ref="O8" r:id="rId64" display="FICC-92058" tooltip="http://jira.htzq.htsc.com.cn/browse/FICC-92058"/>
    <hyperlink ref="O15" r:id="rId65" display="FICC-92060" tooltip="http://jira.htzq.htsc.com.cn/browse/FICC-92060"/>
    <hyperlink ref="O17" r:id="rId66" display="FICC-92061" tooltip="http://jira.htzq.htsc.com.cn/browse/FICC-92061"/>
    <hyperlink ref="O19" r:id="rId67" display="FICC-92065" tooltip="http://jira.htzq.htsc.com.cn/browse/FICC-92065"/>
    <hyperlink ref="O20" r:id="rId68" display="FICC-92070" tooltip="http://jira.htzq.htsc.com.cn/browse/FICC-92070"/>
    <hyperlink ref="O21" r:id="rId69" display="FICC-92072" tooltip="http://jira.htzq.htsc.com.cn/browse/FICC-92072"/>
    <hyperlink ref="O35" r:id="rId70" display="FICC-92075" tooltip="http://jira.htzq.htsc.com.cn/browse/FICC-92075"/>
    <hyperlink ref="Q32" r:id="rId71" display="http://wiki.htzq.htsc.com.cn/pages/viewpage.action?pageId=455325384"/>
    <hyperlink ref="Q29" r:id="rId72" display="http://wiki.htzq.htsc.com.cn/pages/createpage.action?spaceKey=ENAUDXPE68&amp;fromPageId=443098933" tooltip="http://wiki.htzq.htsc.com.cn/pages/createpage.action?spaceKey=ENAUDXPE68&amp;fromPageId=443098933"/>
    <hyperlink ref="Q64" r:id="rId73" display="http://wiki.htzq.htsc.com.cn/pages/viewpage.action?pageId=354620964"/>
    <hyperlink ref="Q58" r:id="rId74" display="http://wiki.htzq.htsc.com.cn/pages/viewpage.action?pageId=455950394"/>
    <hyperlink ref="Q59" r:id="rId74" display="http://wiki.htzq.htsc.com.cn/pages/viewpage.action?pageId=455950394"/>
    <hyperlink ref="Q40" r:id="rId75" display="http://wiki.htzq.htsc.com.cn/pages/viewpage.action?pageId=459150396" tooltip="http://wiki.htzq.htsc.com.cn/pages/viewpage.action?pageId=459150396"/>
    <hyperlink ref="Q67" r:id="rId76" display="http://wiki.htzq.htsc.com.cn/x/YktmGw" tooltip="http://wiki.htzq.htsc.com.cn/x/YktmGw"/>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4"/>
  <sheetViews>
    <sheetView tabSelected="1" workbookViewId="0">
      <pane ySplit="3" topLeftCell="A4" activePane="bottomLeft" state="frozen"/>
      <selection/>
      <selection pane="bottomLeft" activeCell="D36" sqref="D36"/>
    </sheetView>
  </sheetViews>
  <sheetFormatPr defaultColWidth="9" defaultRowHeight="13.5"/>
  <cols>
    <col min="1" max="1" width="16.025" customWidth="1"/>
    <col min="2" max="2" width="23.525" customWidth="1"/>
    <col min="3" max="3" width="16.4" customWidth="1"/>
    <col min="4" max="4" width="12" customWidth="1"/>
    <col min="5" max="5" width="54.5416666666667" customWidth="1"/>
    <col min="6" max="6" width="66.5" customWidth="1"/>
    <col min="8" max="9" width="13.5" customWidth="1"/>
    <col min="10" max="11" width="15.125" hidden="1" customWidth="1"/>
    <col min="12" max="14" width="14" hidden="1" customWidth="1"/>
  </cols>
  <sheetData>
    <row r="1" ht="18" spans="1:14">
      <c r="A1" s="31" t="s">
        <v>640</v>
      </c>
      <c r="B1" s="31"/>
      <c r="C1" s="31"/>
      <c r="D1" s="31"/>
      <c r="E1" s="31"/>
      <c r="F1" s="31"/>
      <c r="G1" s="31"/>
      <c r="H1" s="31"/>
      <c r="I1" s="31"/>
      <c r="J1" s="31"/>
      <c r="K1" s="31"/>
      <c r="L1" s="31"/>
      <c r="M1" s="31"/>
      <c r="N1" s="31"/>
    </row>
    <row r="2" ht="17.25" spans="1:14">
      <c r="A2" s="32" t="s">
        <v>641</v>
      </c>
      <c r="B2" s="32"/>
      <c r="C2" s="32"/>
      <c r="D2" s="32"/>
      <c r="E2" s="32"/>
      <c r="F2" s="32"/>
      <c r="G2" s="32"/>
      <c r="H2" s="32"/>
      <c r="I2" s="50"/>
      <c r="J2" s="51" t="s">
        <v>642</v>
      </c>
      <c r="K2" s="52"/>
      <c r="L2" s="52"/>
      <c r="M2" s="52"/>
      <c r="N2" s="59"/>
    </row>
    <row r="3" ht="36" spans="1:14">
      <c r="A3" s="33" t="s">
        <v>643</v>
      </c>
      <c r="B3" s="33" t="s">
        <v>644</v>
      </c>
      <c r="C3" s="33" t="s">
        <v>645</v>
      </c>
      <c r="D3" s="33" t="s">
        <v>646</v>
      </c>
      <c r="E3" s="33" t="s">
        <v>647</v>
      </c>
      <c r="F3" s="33" t="s">
        <v>648</v>
      </c>
      <c r="G3" s="33" t="s">
        <v>649</v>
      </c>
      <c r="H3" s="33" t="s">
        <v>650</v>
      </c>
      <c r="I3" s="33" t="s">
        <v>651</v>
      </c>
      <c r="J3" s="53" t="s">
        <v>652</v>
      </c>
      <c r="K3" s="53" t="s">
        <v>653</v>
      </c>
      <c r="L3" s="54" t="s">
        <v>654</v>
      </c>
      <c r="M3" s="54" t="s">
        <v>655</v>
      </c>
      <c r="N3" s="54" t="s">
        <v>656</v>
      </c>
    </row>
    <row r="4" ht="16.5" spans="1:14">
      <c r="A4" s="34" t="s">
        <v>81</v>
      </c>
      <c r="B4" s="35" t="s">
        <v>65</v>
      </c>
      <c r="C4" s="35" t="s">
        <v>76</v>
      </c>
      <c r="D4" s="36" t="s">
        <v>380</v>
      </c>
      <c r="E4" s="35" t="s">
        <v>379</v>
      </c>
      <c r="F4" s="35" t="s">
        <v>657</v>
      </c>
      <c r="G4" s="35" t="s">
        <v>52</v>
      </c>
      <c r="H4" s="12" t="s">
        <v>658</v>
      </c>
      <c r="I4" s="12" t="s">
        <v>35</v>
      </c>
      <c r="J4" s="13"/>
      <c r="K4" s="13"/>
      <c r="L4" s="12"/>
      <c r="M4" s="12"/>
      <c r="N4" s="12"/>
    </row>
    <row r="5" ht="49.5" spans="1:14">
      <c r="A5" s="34" t="s">
        <v>29</v>
      </c>
      <c r="B5" s="35" t="s">
        <v>30</v>
      </c>
      <c r="C5" s="35" t="s">
        <v>22</v>
      </c>
      <c r="D5" s="36" t="s">
        <v>309</v>
      </c>
      <c r="E5" s="35" t="s">
        <v>23</v>
      </c>
      <c r="F5" s="45" t="s">
        <v>308</v>
      </c>
      <c r="G5" s="35" t="s">
        <v>32</v>
      </c>
      <c r="H5" s="12" t="s">
        <v>658</v>
      </c>
      <c r="I5" s="12" t="s">
        <v>125</v>
      </c>
      <c r="J5" s="13"/>
      <c r="K5" s="13"/>
      <c r="L5" s="12"/>
      <c r="M5" s="12"/>
      <c r="N5" s="12"/>
    </row>
    <row r="6" ht="42.65" customHeight="1" spans="1:14">
      <c r="A6" s="37" t="s">
        <v>122</v>
      </c>
      <c r="B6" s="38" t="s">
        <v>659</v>
      </c>
      <c r="C6" s="35" t="s">
        <v>128</v>
      </c>
      <c r="D6" s="36" t="s">
        <v>419</v>
      </c>
      <c r="E6" s="35" t="s">
        <v>660</v>
      </c>
      <c r="F6" s="45" t="s">
        <v>661</v>
      </c>
      <c r="G6" s="35" t="s">
        <v>83</v>
      </c>
      <c r="H6" s="12" t="s">
        <v>658</v>
      </c>
      <c r="I6" s="12" t="s">
        <v>125</v>
      </c>
      <c r="J6" s="13"/>
      <c r="K6" s="13"/>
      <c r="L6" s="12"/>
      <c r="M6" s="12"/>
      <c r="N6" s="12"/>
    </row>
    <row r="7" ht="99" spans="1:14">
      <c r="A7" s="37" t="s">
        <v>180</v>
      </c>
      <c r="B7" s="38" t="s">
        <v>662</v>
      </c>
      <c r="C7" s="35" t="s">
        <v>175</v>
      </c>
      <c r="D7" s="36" t="s">
        <v>447</v>
      </c>
      <c r="E7" s="35" t="s">
        <v>663</v>
      </c>
      <c r="F7" s="46" t="s">
        <v>664</v>
      </c>
      <c r="G7" s="35" t="s">
        <v>183</v>
      </c>
      <c r="H7" s="12" t="s">
        <v>658</v>
      </c>
      <c r="I7" s="12" t="s">
        <v>125</v>
      </c>
      <c r="J7" s="13"/>
      <c r="K7" s="13"/>
      <c r="L7" s="12"/>
      <c r="M7" s="12"/>
      <c r="N7" s="12"/>
    </row>
    <row r="8" ht="66" spans="1:14">
      <c r="A8" s="34" t="s">
        <v>81</v>
      </c>
      <c r="B8" s="35" t="s">
        <v>65</v>
      </c>
      <c r="C8" s="35" t="s">
        <v>113</v>
      </c>
      <c r="D8" s="36" t="s">
        <v>404</v>
      </c>
      <c r="E8" s="35" t="s">
        <v>665</v>
      </c>
      <c r="F8" s="45" t="s">
        <v>666</v>
      </c>
      <c r="G8" s="35" t="s">
        <v>52</v>
      </c>
      <c r="H8" s="12" t="s">
        <v>658</v>
      </c>
      <c r="I8" s="12" t="s">
        <v>125</v>
      </c>
      <c r="J8" s="13"/>
      <c r="K8" s="13"/>
      <c r="L8" s="12"/>
      <c r="M8" s="12"/>
      <c r="N8" s="12"/>
    </row>
    <row r="9" ht="49.5" spans="1:14">
      <c r="A9" s="39" t="s">
        <v>109</v>
      </c>
      <c r="B9" s="35" t="s">
        <v>566</v>
      </c>
      <c r="C9" s="35" t="s">
        <v>164</v>
      </c>
      <c r="D9" s="36" t="s">
        <v>442</v>
      </c>
      <c r="E9" s="35" t="s">
        <v>667</v>
      </c>
      <c r="F9" s="45" t="s">
        <v>441</v>
      </c>
      <c r="G9" s="35" t="s">
        <v>94</v>
      </c>
      <c r="H9" s="12" t="s">
        <v>658</v>
      </c>
      <c r="I9" s="12" t="s">
        <v>35</v>
      </c>
      <c r="J9" s="13"/>
      <c r="K9" s="13"/>
      <c r="L9" s="12"/>
      <c r="M9" s="12"/>
      <c r="N9" s="12"/>
    </row>
    <row r="10" ht="33" spans="1:14">
      <c r="A10" s="39" t="s">
        <v>109</v>
      </c>
      <c r="B10" s="35" t="s">
        <v>566</v>
      </c>
      <c r="C10" s="35" t="s">
        <v>105</v>
      </c>
      <c r="D10" s="36" t="s">
        <v>398</v>
      </c>
      <c r="E10" s="35" t="s">
        <v>106</v>
      </c>
      <c r="F10" s="45" t="s">
        <v>668</v>
      </c>
      <c r="G10" s="35" t="s">
        <v>94</v>
      </c>
      <c r="H10" s="12" t="s">
        <v>658</v>
      </c>
      <c r="I10" s="12" t="s">
        <v>35</v>
      </c>
      <c r="J10" s="13"/>
      <c r="K10" s="13"/>
      <c r="L10" s="12"/>
      <c r="M10" s="12"/>
      <c r="N10" s="12"/>
    </row>
    <row r="11" ht="49.5" spans="1:14">
      <c r="A11" s="39" t="s">
        <v>63</v>
      </c>
      <c r="B11" s="38" t="s">
        <v>669</v>
      </c>
      <c r="C11" s="38" t="s">
        <v>87</v>
      </c>
      <c r="D11" s="36" t="s">
        <v>384</v>
      </c>
      <c r="E11" s="35" t="s">
        <v>88</v>
      </c>
      <c r="F11" s="45" t="s">
        <v>670</v>
      </c>
      <c r="G11" s="35" t="s">
        <v>94</v>
      </c>
      <c r="H11" s="12" t="s">
        <v>658</v>
      </c>
      <c r="I11" s="12" t="s">
        <v>35</v>
      </c>
      <c r="J11" s="13"/>
      <c r="K11" s="13"/>
      <c r="L11" s="12"/>
      <c r="M11" s="12"/>
      <c r="N11" s="12"/>
    </row>
    <row r="12" ht="16.5" spans="1:14">
      <c r="A12" s="39" t="s">
        <v>671</v>
      </c>
      <c r="B12" s="38" t="s">
        <v>111</v>
      </c>
      <c r="C12" s="38" t="s">
        <v>542</v>
      </c>
      <c r="D12" s="36" t="s">
        <v>637</v>
      </c>
      <c r="E12" s="35" t="s">
        <v>634</v>
      </c>
      <c r="F12" s="38" t="s">
        <v>672</v>
      </c>
      <c r="G12" s="47" t="s">
        <v>635</v>
      </c>
      <c r="H12" s="12" t="s">
        <v>658</v>
      </c>
      <c r="I12" s="12" t="s">
        <v>35</v>
      </c>
      <c r="J12" s="13"/>
      <c r="K12" s="13"/>
      <c r="L12" s="12"/>
      <c r="M12" s="12"/>
      <c r="N12" s="12"/>
    </row>
    <row r="13" ht="16.5" spans="1:14">
      <c r="A13" s="34" t="s">
        <v>81</v>
      </c>
      <c r="B13" s="38" t="s">
        <v>575</v>
      </c>
      <c r="C13" s="38" t="s">
        <v>542</v>
      </c>
      <c r="D13" s="36" t="s">
        <v>623</v>
      </c>
      <c r="E13" s="35" t="s">
        <v>621</v>
      </c>
      <c r="F13" s="35" t="s">
        <v>622</v>
      </c>
      <c r="G13" s="35" t="s">
        <v>94</v>
      </c>
      <c r="H13" s="12" t="s">
        <v>658</v>
      </c>
      <c r="I13" s="12" t="s">
        <v>35</v>
      </c>
      <c r="J13" s="13"/>
      <c r="K13" s="13"/>
      <c r="L13" s="12"/>
      <c r="M13" s="12"/>
      <c r="N13" s="12"/>
    </row>
    <row r="14" ht="33" spans="1:14">
      <c r="A14" s="37" t="s">
        <v>180</v>
      </c>
      <c r="B14" s="35" t="s">
        <v>555</v>
      </c>
      <c r="C14" s="38" t="s">
        <v>542</v>
      </c>
      <c r="D14" s="36" t="s">
        <v>562</v>
      </c>
      <c r="E14" s="35" t="s">
        <v>673</v>
      </c>
      <c r="F14" s="45" t="s">
        <v>674</v>
      </c>
      <c r="G14" s="35" t="s">
        <v>183</v>
      </c>
      <c r="H14" s="12" t="s">
        <v>658</v>
      </c>
      <c r="I14" s="12" t="s">
        <v>35</v>
      </c>
      <c r="J14" s="13"/>
      <c r="K14" s="13"/>
      <c r="L14" s="12"/>
      <c r="M14" s="12"/>
      <c r="N14" s="12"/>
    </row>
    <row r="15" ht="33" spans="1:14">
      <c r="A15" s="34" t="s">
        <v>29</v>
      </c>
      <c r="B15" s="38" t="s">
        <v>566</v>
      </c>
      <c r="C15" s="38" t="s">
        <v>542</v>
      </c>
      <c r="D15" s="36" t="s">
        <v>603</v>
      </c>
      <c r="E15" s="35" t="s">
        <v>600</v>
      </c>
      <c r="F15" s="6" t="s">
        <v>602</v>
      </c>
      <c r="G15" s="35" t="s">
        <v>32</v>
      </c>
      <c r="H15" s="12" t="s">
        <v>658</v>
      </c>
      <c r="I15" s="12" t="s">
        <v>35</v>
      </c>
      <c r="J15" s="13"/>
      <c r="K15" s="13"/>
      <c r="L15" s="12"/>
      <c r="M15" s="12"/>
      <c r="N15" s="12"/>
    </row>
    <row r="16" ht="49.5" spans="1:14">
      <c r="A16" s="34" t="s">
        <v>29</v>
      </c>
      <c r="B16" s="38" t="s">
        <v>566</v>
      </c>
      <c r="C16" s="38" t="s">
        <v>542</v>
      </c>
      <c r="D16" s="36" t="s">
        <v>597</v>
      </c>
      <c r="E16" s="35" t="s">
        <v>595</v>
      </c>
      <c r="F16" s="6" t="s">
        <v>675</v>
      </c>
      <c r="G16" s="35" t="s">
        <v>32</v>
      </c>
      <c r="H16" s="12" t="s">
        <v>658</v>
      </c>
      <c r="I16" s="12" t="s">
        <v>35</v>
      </c>
      <c r="J16" s="13"/>
      <c r="K16" s="13"/>
      <c r="L16" s="12"/>
      <c r="M16" s="12"/>
      <c r="N16" s="12"/>
    </row>
    <row r="17" ht="16.5" spans="1:14">
      <c r="A17" s="39" t="s">
        <v>109</v>
      </c>
      <c r="B17" s="38" t="s">
        <v>676</v>
      </c>
      <c r="C17" s="38" t="s">
        <v>542</v>
      </c>
      <c r="D17" s="36" t="s">
        <v>539</v>
      </c>
      <c r="E17" s="35" t="s">
        <v>677</v>
      </c>
      <c r="F17" s="35" t="s">
        <v>538</v>
      </c>
      <c r="G17" s="35" t="s">
        <v>94</v>
      </c>
      <c r="H17" s="12" t="s">
        <v>658</v>
      </c>
      <c r="I17" s="12" t="s">
        <v>35</v>
      </c>
      <c r="J17" s="13"/>
      <c r="K17" s="13"/>
      <c r="L17" s="12"/>
      <c r="M17" s="12"/>
      <c r="N17" s="12"/>
    </row>
    <row r="18" ht="16.5" spans="1:14">
      <c r="A18" s="39" t="s">
        <v>109</v>
      </c>
      <c r="B18" s="38" t="s">
        <v>566</v>
      </c>
      <c r="C18" s="38" t="s">
        <v>542</v>
      </c>
      <c r="D18" s="36" t="s">
        <v>534</v>
      </c>
      <c r="E18" s="35" t="s">
        <v>282</v>
      </c>
      <c r="F18" s="35" t="s">
        <v>533</v>
      </c>
      <c r="G18" s="35" t="s">
        <v>94</v>
      </c>
      <c r="H18" s="12" t="s">
        <v>658</v>
      </c>
      <c r="I18" s="12" t="s">
        <v>35</v>
      </c>
      <c r="J18" s="13"/>
      <c r="K18" s="13"/>
      <c r="L18" s="12"/>
      <c r="M18" s="12"/>
      <c r="N18" s="12"/>
    </row>
    <row r="19" ht="33" spans="1:14">
      <c r="A19" s="34" t="s">
        <v>81</v>
      </c>
      <c r="B19" s="35" t="s">
        <v>575</v>
      </c>
      <c r="C19" s="38" t="s">
        <v>542</v>
      </c>
      <c r="D19" s="36" t="s">
        <v>577</v>
      </c>
      <c r="E19" s="35" t="s">
        <v>678</v>
      </c>
      <c r="F19" s="45" t="s">
        <v>679</v>
      </c>
      <c r="G19" s="35" t="s">
        <v>266</v>
      </c>
      <c r="H19" s="12" t="s">
        <v>658</v>
      </c>
      <c r="I19" s="12" t="s">
        <v>35</v>
      </c>
      <c r="J19" s="13"/>
      <c r="K19" s="13"/>
      <c r="L19" s="12"/>
      <c r="M19" s="12"/>
      <c r="N19" s="12"/>
    </row>
    <row r="20" ht="66" spans="1:14">
      <c r="A20" s="39" t="s">
        <v>109</v>
      </c>
      <c r="B20" s="35" t="s">
        <v>566</v>
      </c>
      <c r="C20" s="38" t="s">
        <v>542</v>
      </c>
      <c r="D20" s="36" t="s">
        <v>568</v>
      </c>
      <c r="E20" s="35" t="s">
        <v>680</v>
      </c>
      <c r="F20" s="45" t="s">
        <v>681</v>
      </c>
      <c r="G20" s="35" t="s">
        <v>266</v>
      </c>
      <c r="H20" s="12" t="s">
        <v>658</v>
      </c>
      <c r="I20" s="12" t="s">
        <v>35</v>
      </c>
      <c r="J20" s="13"/>
      <c r="K20" s="13"/>
      <c r="L20" s="12"/>
      <c r="M20" s="12"/>
      <c r="N20" s="12"/>
    </row>
    <row r="21" ht="82.5" spans="1:14">
      <c r="A21" s="37" t="s">
        <v>122</v>
      </c>
      <c r="B21" s="38" t="s">
        <v>682</v>
      </c>
      <c r="C21" s="38" t="s">
        <v>683</v>
      </c>
      <c r="D21" s="36" t="s">
        <v>524</v>
      </c>
      <c r="E21" s="35" t="s">
        <v>684</v>
      </c>
      <c r="F21" s="45" t="s">
        <v>685</v>
      </c>
      <c r="G21" s="35" t="s">
        <v>83</v>
      </c>
      <c r="H21" s="12" t="s">
        <v>658</v>
      </c>
      <c r="I21" s="12" t="s">
        <v>35</v>
      </c>
      <c r="J21" s="13"/>
      <c r="K21" s="13"/>
      <c r="L21" s="12"/>
      <c r="M21" s="12"/>
      <c r="N21" s="12"/>
    </row>
    <row r="22" ht="49.5" spans="1:14">
      <c r="A22" s="34" t="s">
        <v>29</v>
      </c>
      <c r="B22" s="38" t="s">
        <v>686</v>
      </c>
      <c r="C22" s="38" t="s">
        <v>542</v>
      </c>
      <c r="D22" s="36" t="s">
        <v>520</v>
      </c>
      <c r="E22" s="35" t="s">
        <v>687</v>
      </c>
      <c r="F22" s="45" t="s">
        <v>688</v>
      </c>
      <c r="G22" s="35" t="s">
        <v>83</v>
      </c>
      <c r="H22" s="12" t="s">
        <v>689</v>
      </c>
      <c r="I22" s="12" t="s">
        <v>35</v>
      </c>
      <c r="J22" s="13"/>
      <c r="K22" s="13"/>
      <c r="L22" s="12"/>
      <c r="M22" s="12"/>
      <c r="N22" s="12"/>
    </row>
    <row r="23" ht="16.5" spans="1:14">
      <c r="A23" s="39"/>
      <c r="B23" s="12"/>
      <c r="C23" s="36"/>
      <c r="D23" s="36"/>
      <c r="E23" s="36"/>
      <c r="F23" s="39"/>
      <c r="G23" s="12"/>
      <c r="H23" s="12"/>
      <c r="I23" s="12"/>
      <c r="J23" s="55"/>
      <c r="K23" s="13"/>
      <c r="L23" s="13"/>
      <c r="M23" s="13"/>
      <c r="N23" s="13"/>
    </row>
    <row r="24" ht="16.5" spans="1:14">
      <c r="A24" s="39"/>
      <c r="B24" s="12"/>
      <c r="C24" s="36"/>
      <c r="D24" s="36"/>
      <c r="E24" s="36"/>
      <c r="F24" s="36"/>
      <c r="G24" s="13"/>
      <c r="H24" s="12"/>
      <c r="I24" s="12"/>
      <c r="J24" s="55"/>
      <c r="K24" s="13"/>
      <c r="L24" s="12"/>
      <c r="M24" s="12"/>
      <c r="N24" s="12"/>
    </row>
    <row r="25" ht="16.5" spans="1:14">
      <c r="A25" s="39"/>
      <c r="B25" s="12"/>
      <c r="C25" s="36"/>
      <c r="D25" s="36"/>
      <c r="E25" s="36"/>
      <c r="F25" s="36"/>
      <c r="G25" s="13"/>
      <c r="H25" s="12"/>
      <c r="I25" s="12"/>
      <c r="J25" s="55"/>
      <c r="K25" s="13"/>
      <c r="L25" s="12"/>
      <c r="M25" s="12"/>
      <c r="N25" s="12"/>
    </row>
    <row r="26" ht="16.5" spans="1:14">
      <c r="A26" s="39"/>
      <c r="B26" s="12"/>
      <c r="C26" s="36"/>
      <c r="D26" s="36"/>
      <c r="E26" s="36"/>
      <c r="F26" s="39"/>
      <c r="G26" s="12"/>
      <c r="H26" s="12"/>
      <c r="I26" s="12"/>
      <c r="J26" s="1"/>
      <c r="K26" s="1"/>
      <c r="L26" s="47"/>
      <c r="M26" s="47"/>
      <c r="N26" s="47"/>
    </row>
    <row r="27" spans="1:6">
      <c r="A27" s="40"/>
      <c r="B27"/>
      <c r="C27"/>
      <c r="D27"/>
      <c r="E27" s="40"/>
      <c r="F27" s="40"/>
    </row>
    <row r="28" ht="18" spans="1:14">
      <c r="A28" s="31" t="s">
        <v>690</v>
      </c>
      <c r="B28" s="31"/>
      <c r="C28" s="31"/>
      <c r="D28" s="31"/>
      <c r="E28" s="31"/>
      <c r="F28" s="31"/>
      <c r="G28" s="31"/>
      <c r="H28" s="31"/>
      <c r="I28" s="31"/>
      <c r="J28" s="31"/>
      <c r="K28" s="31"/>
      <c r="L28" s="31"/>
      <c r="M28" s="31"/>
      <c r="N28" s="31"/>
    </row>
    <row r="29" ht="17.25" spans="1:14">
      <c r="A29" s="32" t="s">
        <v>641</v>
      </c>
      <c r="B29" s="32"/>
      <c r="C29" s="32"/>
      <c r="D29" s="32"/>
      <c r="E29" s="32"/>
      <c r="F29" s="32"/>
      <c r="G29" s="32"/>
      <c r="H29" s="32"/>
      <c r="I29" s="50"/>
      <c r="J29" s="51" t="s">
        <v>642</v>
      </c>
      <c r="K29" s="52"/>
      <c r="L29" s="52"/>
      <c r="M29" s="52"/>
      <c r="N29" s="59"/>
    </row>
    <row r="30" ht="36" spans="1:14">
      <c r="A30" s="41" t="s">
        <v>643</v>
      </c>
      <c r="B30" s="41" t="s">
        <v>644</v>
      </c>
      <c r="C30" s="41" t="s">
        <v>645</v>
      </c>
      <c r="D30" s="41" t="s">
        <v>646</v>
      </c>
      <c r="E30" s="41" t="s">
        <v>647</v>
      </c>
      <c r="F30" s="41" t="s">
        <v>648</v>
      </c>
      <c r="G30" s="41" t="s">
        <v>649</v>
      </c>
      <c r="H30" s="41" t="s">
        <v>650</v>
      </c>
      <c r="I30" s="41" t="s">
        <v>651</v>
      </c>
      <c r="J30" s="56" t="s">
        <v>652</v>
      </c>
      <c r="K30" s="56" t="s">
        <v>653</v>
      </c>
      <c r="L30" s="57" t="s">
        <v>654</v>
      </c>
      <c r="M30" s="57" t="s">
        <v>655</v>
      </c>
      <c r="N30" s="57" t="s">
        <v>656</v>
      </c>
    </row>
    <row r="31" s="29" customFormat="1" ht="33" spans="1:14">
      <c r="A31" s="42" t="s">
        <v>29</v>
      </c>
      <c r="B31" s="43" t="s">
        <v>51</v>
      </c>
      <c r="C31" s="43" t="s">
        <v>45</v>
      </c>
      <c r="D31" s="44" t="s">
        <v>337</v>
      </c>
      <c r="E31" s="43" t="s">
        <v>46</v>
      </c>
      <c r="F31" s="48" t="s">
        <v>691</v>
      </c>
      <c r="G31" s="48" t="s">
        <v>692</v>
      </c>
      <c r="H31" s="49" t="s">
        <v>689</v>
      </c>
      <c r="I31" s="49" t="s">
        <v>125</v>
      </c>
      <c r="J31" s="58"/>
      <c r="K31" s="58"/>
      <c r="L31" s="49"/>
      <c r="M31" s="49"/>
      <c r="N31" s="49"/>
    </row>
    <row r="32" s="29" customFormat="1" ht="33" spans="1:14">
      <c r="A32" s="42" t="s">
        <v>63</v>
      </c>
      <c r="B32" s="43" t="s">
        <v>693</v>
      </c>
      <c r="C32" s="43" t="s">
        <v>58</v>
      </c>
      <c r="D32" s="44" t="s">
        <v>355</v>
      </c>
      <c r="E32" s="43" t="s">
        <v>694</v>
      </c>
      <c r="F32" s="48" t="s">
        <v>695</v>
      </c>
      <c r="G32" s="43" t="s">
        <v>66</v>
      </c>
      <c r="H32" s="49" t="s">
        <v>658</v>
      </c>
      <c r="I32" s="49" t="s">
        <v>125</v>
      </c>
      <c r="J32" s="58"/>
      <c r="K32" s="58"/>
      <c r="L32" s="58"/>
      <c r="M32" s="58"/>
      <c r="N32" s="58"/>
    </row>
    <row r="33" s="30" customFormat="1" ht="99" spans="1:14">
      <c r="A33" s="37" t="s">
        <v>122</v>
      </c>
      <c r="B33" s="39" t="s">
        <v>230</v>
      </c>
      <c r="C33" s="60" t="s">
        <v>226</v>
      </c>
      <c r="D33" s="44" t="s">
        <v>473</v>
      </c>
      <c r="E33" s="35" t="s">
        <v>696</v>
      </c>
      <c r="F33" s="45" t="s">
        <v>697</v>
      </c>
      <c r="G33" s="35" t="s">
        <v>231</v>
      </c>
      <c r="H33" s="49" t="s">
        <v>689</v>
      </c>
      <c r="I33" s="12" t="s">
        <v>35</v>
      </c>
      <c r="J33" s="13"/>
      <c r="K33" s="13"/>
      <c r="L33" s="12"/>
      <c r="M33" s="12"/>
      <c r="N33" s="12"/>
    </row>
    <row r="34" ht="16.5" spans="1:14">
      <c r="A34" s="39"/>
      <c r="B34" s="12"/>
      <c r="C34" s="39"/>
      <c r="D34" s="12"/>
      <c r="E34" s="62"/>
      <c r="F34" s="12"/>
      <c r="G34" s="39"/>
      <c r="H34" s="12"/>
      <c r="I34" s="39"/>
      <c r="J34" s="63"/>
      <c r="K34" s="63"/>
      <c r="L34" s="63"/>
      <c r="M34" s="63"/>
      <c r="N34" s="63"/>
    </row>
    <row r="35" ht="16.5" spans="1:14">
      <c r="A35" s="39"/>
      <c r="B35" s="12"/>
      <c r="C35" s="39"/>
      <c r="D35" s="12"/>
      <c r="E35" s="62"/>
      <c r="F35" s="12"/>
      <c r="G35" s="39"/>
      <c r="H35" s="12"/>
      <c r="I35" s="39"/>
      <c r="J35" s="63"/>
      <c r="K35" s="63"/>
      <c r="L35" s="63"/>
      <c r="M35" s="63"/>
      <c r="N35" s="63"/>
    </row>
    <row r="36" ht="16.5" spans="1:9">
      <c r="A36" s="39"/>
      <c r="B36" s="13"/>
      <c r="C36" s="36"/>
      <c r="D36" s="36"/>
      <c r="E36" s="36"/>
      <c r="F36" s="39"/>
      <c r="G36" s="13"/>
      <c r="H36" s="12"/>
      <c r="I36" s="12"/>
    </row>
    <row r="37" spans="1:6">
      <c r="A37" s="40"/>
      <c r="E37" s="40"/>
      <c r="F37" s="40"/>
    </row>
    <row r="38" spans="1:6">
      <c r="A38" s="40"/>
      <c r="B38"/>
      <c r="C38"/>
      <c r="D38"/>
      <c r="E38" s="40"/>
      <c r="F38" s="40"/>
    </row>
    <row r="39" spans="1:6">
      <c r="A39" s="40"/>
      <c r="B39"/>
      <c r="C39"/>
      <c r="D39"/>
      <c r="E39" s="40"/>
      <c r="F39" s="40"/>
    </row>
    <row r="40" spans="1:6">
      <c r="A40" s="40"/>
      <c r="B40"/>
      <c r="C40"/>
      <c r="D40"/>
      <c r="E40" s="40"/>
      <c r="F40" s="40"/>
    </row>
    <row r="41" ht="18" spans="1:14">
      <c r="A41" s="61" t="s">
        <v>210</v>
      </c>
      <c r="B41" s="61"/>
      <c r="C41" s="61"/>
      <c r="D41" s="61"/>
      <c r="E41" s="61"/>
      <c r="F41" s="61"/>
      <c r="G41" s="61"/>
      <c r="H41" s="61"/>
      <c r="I41" s="61"/>
      <c r="J41" s="61"/>
      <c r="K41" s="61"/>
      <c r="L41" s="61"/>
      <c r="M41" s="61"/>
      <c r="N41" s="61"/>
    </row>
    <row r="42" ht="17.25" spans="1:14">
      <c r="A42" s="32" t="s">
        <v>698</v>
      </c>
      <c r="B42" s="32"/>
      <c r="C42" s="32"/>
      <c r="D42" s="32"/>
      <c r="E42" s="32"/>
      <c r="F42" s="32"/>
      <c r="G42" s="32"/>
      <c r="H42" s="32"/>
      <c r="I42" s="50"/>
      <c r="J42" s="51" t="s">
        <v>642</v>
      </c>
      <c r="K42" s="52"/>
      <c r="L42" s="52"/>
      <c r="M42" s="52"/>
      <c r="N42" s="59"/>
    </row>
    <row r="43" ht="36" spans="1:14">
      <c r="A43" s="41" t="s">
        <v>699</v>
      </c>
      <c r="B43" s="41" t="s">
        <v>644</v>
      </c>
      <c r="C43" s="41" t="s">
        <v>645</v>
      </c>
      <c r="D43" s="41" t="s">
        <v>646</v>
      </c>
      <c r="E43" s="41" t="s">
        <v>647</v>
      </c>
      <c r="F43" s="41" t="s">
        <v>648</v>
      </c>
      <c r="G43" s="41" t="s">
        <v>649</v>
      </c>
      <c r="H43" s="41" t="s">
        <v>650</v>
      </c>
      <c r="I43" s="41" t="s">
        <v>651</v>
      </c>
      <c r="J43" s="53" t="s">
        <v>652</v>
      </c>
      <c r="K43" s="53" t="s">
        <v>653</v>
      </c>
      <c r="L43" s="54" t="s">
        <v>654</v>
      </c>
      <c r="M43" s="54" t="s">
        <v>655</v>
      </c>
      <c r="N43" s="54" t="s">
        <v>656</v>
      </c>
    </row>
    <row r="44" ht="16.5" spans="1:14">
      <c r="A44" s="39"/>
      <c r="B44" s="12"/>
      <c r="C44" s="39"/>
      <c r="D44" s="36"/>
      <c r="E44" s="36"/>
      <c r="F44" s="39"/>
      <c r="G44" s="13"/>
      <c r="H44" s="12"/>
      <c r="I44" s="12"/>
      <c r="J44" s="13"/>
      <c r="K44" s="13"/>
      <c r="L44" s="12"/>
      <c r="M44" s="12"/>
      <c r="N44" s="13"/>
    </row>
    <row r="45" ht="16.5" spans="1:9">
      <c r="A45" s="39"/>
      <c r="B45" s="12"/>
      <c r="C45" s="39"/>
      <c r="D45" s="39"/>
      <c r="E45" s="39"/>
      <c r="F45" s="39"/>
      <c r="G45" s="39"/>
      <c r="H45" s="39"/>
      <c r="I45" s="39"/>
    </row>
    <row r="46" spans="1:6">
      <c r="A46" s="40"/>
      <c r="E46" s="40"/>
      <c r="F46" s="40"/>
    </row>
    <row r="47" spans="1:6">
      <c r="A47" s="40"/>
      <c r="E47" s="40"/>
      <c r="F47" s="40"/>
    </row>
    <row r="48" spans="5:6">
      <c r="E48" s="40"/>
      <c r="F48" s="40"/>
    </row>
    <row r="49" spans="5:6">
      <c r="E49" s="40"/>
      <c r="F49" s="40"/>
    </row>
    <row r="50" spans="5:6">
      <c r="E50" s="40"/>
      <c r="F50" s="40"/>
    </row>
    <row r="51" spans="5:6">
      <c r="E51" s="40"/>
      <c r="F51" s="40"/>
    </row>
    <row r="52" spans="5:6">
      <c r="E52" s="40"/>
      <c r="F52" s="40"/>
    </row>
    <row r="53" spans="5:6">
      <c r="E53" s="40"/>
      <c r="F53" s="40"/>
    </row>
    <row r="54" spans="5:6">
      <c r="E54" s="40"/>
      <c r="F54" s="40"/>
    </row>
  </sheetData>
  <sheetProtection password="E7D7" sheet="1" formatCells="0" insertHyperlinks="0" autoFilter="0" objects="1"/>
  <autoFilter xmlns:etc="http://www.wps.cn/officeDocument/2017/etCustomData" ref="A3:I23" etc:filterBottomFollowUsedRange="0">
    <sortState ref="A4:I23">
      <sortCondition ref="C3"/>
    </sortState>
    <extLst/>
  </autoFilter>
  <sortState ref="A4:I32">
    <sortCondition ref="A3"/>
  </sortState>
  <mergeCells count="9">
    <mergeCell ref="A1:N1"/>
    <mergeCell ref="A2:H2"/>
    <mergeCell ref="J2:N2"/>
    <mergeCell ref="A28:N28"/>
    <mergeCell ref="A29:H29"/>
    <mergeCell ref="J29:N29"/>
    <mergeCell ref="A41:N41"/>
    <mergeCell ref="A42:H42"/>
    <mergeCell ref="J42:N42"/>
  </mergeCells>
  <hyperlinks>
    <hyperlink ref="D33" r:id="rId1" display="FICC-91766" tooltip="http://jira.htzq.htsc.com.cn/browse/FICC-91766"/>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opLeftCell="L24" workbookViewId="0">
      <selection activeCell="L24" sqref="L24:L26"/>
    </sheetView>
  </sheetViews>
  <sheetFormatPr defaultColWidth="9" defaultRowHeight="16.5"/>
  <cols>
    <col min="1" max="1" width="15.125" style="1" customWidth="1"/>
    <col min="2" max="2" width="14.025" style="1" customWidth="1"/>
    <col min="3" max="3" width="27.15" style="1" customWidth="1"/>
    <col min="4" max="5" width="31.3333333333333" style="1" customWidth="1"/>
    <col min="6" max="6" width="48.525" style="1" hidden="1" customWidth="1"/>
    <col min="7" max="7" width="51.225" style="1" hidden="1" customWidth="1"/>
    <col min="8" max="9" width="61.875" style="1" hidden="1" customWidth="1"/>
    <col min="10" max="10" width="61.875" style="1" customWidth="1"/>
    <col min="11" max="18" width="9" style="1" customWidth="1"/>
    <col min="19" max="16384" width="9" style="1"/>
  </cols>
  <sheetData>
    <row r="1" ht="21.85" customHeight="1" spans="1:10">
      <c r="A1" s="2" t="s">
        <v>700</v>
      </c>
      <c r="B1" s="2" t="s">
        <v>701</v>
      </c>
      <c r="C1" s="2" t="s">
        <v>702</v>
      </c>
      <c r="D1" s="2"/>
      <c r="E1" s="2"/>
      <c r="F1" s="18" t="s">
        <v>703</v>
      </c>
      <c r="G1" s="18" t="s">
        <v>704</v>
      </c>
      <c r="H1" s="18" t="s">
        <v>705</v>
      </c>
      <c r="I1" s="18" t="s">
        <v>706</v>
      </c>
      <c r="J1" s="18" t="s">
        <v>707</v>
      </c>
    </row>
    <row r="2" ht="21.85" customHeight="1" spans="1:10">
      <c r="A2" s="3"/>
      <c r="B2" s="3"/>
      <c r="C2" s="3" t="s">
        <v>708</v>
      </c>
      <c r="D2" s="3" t="s">
        <v>709</v>
      </c>
      <c r="E2" s="3" t="s">
        <v>710</v>
      </c>
      <c r="F2" s="19"/>
      <c r="G2" s="19"/>
      <c r="H2" s="19"/>
      <c r="I2" s="19"/>
      <c r="J2" s="19"/>
    </row>
    <row r="3" ht="61.6" customHeight="1" spans="1:10">
      <c r="A3" s="4" t="s">
        <v>711</v>
      </c>
      <c r="B3" s="5">
        <v>46041</v>
      </c>
      <c r="C3" s="6" t="s">
        <v>712</v>
      </c>
      <c r="D3" s="6" t="s">
        <v>713</v>
      </c>
      <c r="E3" s="20"/>
      <c r="F3" s="21" t="s">
        <v>714</v>
      </c>
      <c r="G3" s="21" t="s">
        <v>715</v>
      </c>
      <c r="H3" s="21" t="s">
        <v>716</v>
      </c>
      <c r="I3" s="21" t="s">
        <v>717</v>
      </c>
      <c r="J3" s="21" t="s">
        <v>718</v>
      </c>
    </row>
    <row r="4" ht="33.1" customHeight="1" spans="1:10">
      <c r="A4" s="7"/>
      <c r="B4" s="5">
        <f>WORKDAY(B3,1)</f>
        <v>46042</v>
      </c>
      <c r="C4" s="8" t="s">
        <v>719</v>
      </c>
      <c r="D4" s="8" t="s">
        <v>720</v>
      </c>
      <c r="E4" s="22"/>
      <c r="F4" s="23"/>
      <c r="G4" s="23"/>
      <c r="H4" s="23"/>
      <c r="I4" s="23"/>
      <c r="J4" s="23"/>
    </row>
    <row r="5" ht="33.1" customHeight="1" spans="1:10">
      <c r="A5" s="7"/>
      <c r="B5" s="5">
        <f t="shared" ref="B5:B13" si="0">WORKDAY(B4,1)</f>
        <v>46043</v>
      </c>
      <c r="C5" s="8" t="s">
        <v>721</v>
      </c>
      <c r="D5" s="8" t="s">
        <v>722</v>
      </c>
      <c r="E5" s="24"/>
      <c r="F5" s="23"/>
      <c r="G5" s="23"/>
      <c r="H5" s="23"/>
      <c r="I5" s="23"/>
      <c r="J5" s="23"/>
    </row>
    <row r="6" ht="33.1" customHeight="1" spans="1:10">
      <c r="A6" s="7"/>
      <c r="B6" s="5">
        <f t="shared" si="0"/>
        <v>46044</v>
      </c>
      <c r="C6" s="9" t="s">
        <v>723</v>
      </c>
      <c r="D6" s="9" t="s">
        <v>724</v>
      </c>
      <c r="E6" s="21" t="s">
        <v>725</v>
      </c>
      <c r="F6" s="23"/>
      <c r="G6" s="23"/>
      <c r="H6" s="23"/>
      <c r="I6" s="23"/>
      <c r="J6" s="23"/>
    </row>
    <row r="7" ht="33.1" customHeight="1" spans="1:10">
      <c r="A7" s="7"/>
      <c r="B7" s="5">
        <f t="shared" si="0"/>
        <v>46045</v>
      </c>
      <c r="C7" s="10"/>
      <c r="D7" s="10"/>
      <c r="E7" s="25"/>
      <c r="F7" s="23"/>
      <c r="G7" s="23"/>
      <c r="H7" s="23"/>
      <c r="I7" s="23"/>
      <c r="J7" s="23"/>
    </row>
    <row r="8" ht="33.1" customHeight="1" spans="1:10">
      <c r="A8" s="7"/>
      <c r="B8" s="5">
        <f t="shared" si="0"/>
        <v>46048</v>
      </c>
      <c r="C8" s="10"/>
      <c r="D8" s="10"/>
      <c r="E8" s="25"/>
      <c r="F8" s="23"/>
      <c r="G8" s="23"/>
      <c r="H8" s="23"/>
      <c r="I8" s="23"/>
      <c r="J8" s="23"/>
    </row>
    <row r="9" ht="33.1" customHeight="1" spans="1:10">
      <c r="A9" s="7"/>
      <c r="B9" s="5">
        <f t="shared" si="0"/>
        <v>46049</v>
      </c>
      <c r="C9" s="10"/>
      <c r="D9" s="10"/>
      <c r="E9" s="25"/>
      <c r="F9" s="23"/>
      <c r="G9" s="23"/>
      <c r="H9" s="23"/>
      <c r="I9" s="23"/>
      <c r="J9" s="23"/>
    </row>
    <row r="10" ht="33.1" customHeight="1" spans="1:10">
      <c r="A10" s="7"/>
      <c r="B10" s="5">
        <f t="shared" si="0"/>
        <v>46050</v>
      </c>
      <c r="C10" s="10"/>
      <c r="D10" s="10"/>
      <c r="E10" s="25"/>
      <c r="F10" s="23"/>
      <c r="G10" s="23"/>
      <c r="H10" s="23"/>
      <c r="I10" s="23"/>
      <c r="J10" s="23"/>
    </row>
    <row r="11" ht="33.1" customHeight="1" spans="1:10">
      <c r="A11" s="7"/>
      <c r="B11" s="5">
        <f t="shared" si="0"/>
        <v>46051</v>
      </c>
      <c r="C11" s="11"/>
      <c r="D11" s="11"/>
      <c r="E11" s="26"/>
      <c r="F11" s="23"/>
      <c r="G11" s="23"/>
      <c r="H11" s="23"/>
      <c r="I11" s="23"/>
      <c r="J11" s="23"/>
    </row>
    <row r="12" ht="33.1" customHeight="1" spans="1:10">
      <c r="A12" s="7"/>
      <c r="B12" s="5">
        <f t="shared" si="0"/>
        <v>46052</v>
      </c>
      <c r="C12" s="12" t="s">
        <v>726</v>
      </c>
      <c r="D12" s="13"/>
      <c r="E12" s="13"/>
      <c r="F12" s="23"/>
      <c r="G12" s="23"/>
      <c r="H12" s="23"/>
      <c r="I12" s="23"/>
      <c r="J12" s="23"/>
    </row>
    <row r="13" ht="33.1" customHeight="1" spans="1:10">
      <c r="A13" s="14" t="s">
        <v>727</v>
      </c>
      <c r="B13" s="5">
        <f t="shared" ref="B12:B19" si="1">WORKDAY(B12,1)</f>
        <v>46055</v>
      </c>
      <c r="C13" s="12" t="s">
        <v>728</v>
      </c>
      <c r="D13" s="12" t="s">
        <v>729</v>
      </c>
      <c r="E13" s="13"/>
      <c r="F13" s="23"/>
      <c r="G13" s="23"/>
      <c r="H13" s="23"/>
      <c r="I13" s="23"/>
      <c r="J13" s="23"/>
    </row>
    <row r="14" ht="33.1" customHeight="1" spans="1:10">
      <c r="A14" s="15"/>
      <c r="B14" s="5">
        <f t="shared" si="1"/>
        <v>46056</v>
      </c>
      <c r="C14" s="13"/>
      <c r="D14" s="12" t="s">
        <v>729</v>
      </c>
      <c r="E14" s="13"/>
      <c r="F14" s="23"/>
      <c r="G14" s="23"/>
      <c r="H14" s="23"/>
      <c r="I14" s="23"/>
      <c r="J14" s="23"/>
    </row>
    <row r="15" ht="33.1" customHeight="1" spans="1:10">
      <c r="A15" s="15"/>
      <c r="B15" s="5">
        <f t="shared" si="1"/>
        <v>46057</v>
      </c>
      <c r="C15" s="13"/>
      <c r="D15" s="12" t="s">
        <v>730</v>
      </c>
      <c r="E15" s="12" t="s">
        <v>731</v>
      </c>
      <c r="F15" s="23"/>
      <c r="G15" s="23"/>
      <c r="H15" s="23"/>
      <c r="I15" s="23"/>
      <c r="J15" s="23"/>
    </row>
    <row r="16" ht="33.1" customHeight="1" spans="1:10">
      <c r="A16" s="15"/>
      <c r="B16" s="5">
        <f t="shared" si="1"/>
        <v>46058</v>
      </c>
      <c r="C16" s="13"/>
      <c r="D16" s="12" t="s">
        <v>732</v>
      </c>
      <c r="E16" s="12" t="s">
        <v>731</v>
      </c>
      <c r="F16" s="23"/>
      <c r="G16" s="23"/>
      <c r="H16" s="23"/>
      <c r="I16" s="23"/>
      <c r="J16" s="23"/>
    </row>
    <row r="17" ht="33.1" customHeight="1" spans="1:10">
      <c r="A17" s="15"/>
      <c r="B17" s="5">
        <f t="shared" si="1"/>
        <v>46059</v>
      </c>
      <c r="C17" s="13"/>
      <c r="D17" s="13"/>
      <c r="E17" s="12" t="s">
        <v>733</v>
      </c>
      <c r="F17" s="23"/>
      <c r="G17" s="23"/>
      <c r="H17" s="23"/>
      <c r="I17" s="23"/>
      <c r="J17" s="23"/>
    </row>
    <row r="18" ht="33" spans="1:10">
      <c r="A18" s="16" t="s">
        <v>734</v>
      </c>
      <c r="B18" s="5">
        <f t="shared" si="1"/>
        <v>46062</v>
      </c>
      <c r="C18" s="12" t="s">
        <v>735</v>
      </c>
      <c r="D18" s="13"/>
      <c r="E18" s="6" t="s">
        <v>736</v>
      </c>
      <c r="F18" s="23"/>
      <c r="G18" s="23"/>
      <c r="H18" s="23"/>
      <c r="I18" s="23"/>
      <c r="J18" s="23"/>
    </row>
    <row r="19" ht="36.85" customHeight="1" spans="1:10">
      <c r="A19" s="17"/>
      <c r="B19" s="5">
        <f t="shared" si="1"/>
        <v>46063</v>
      </c>
      <c r="C19" s="16" t="s">
        <v>737</v>
      </c>
      <c r="D19" s="16" t="s">
        <v>737</v>
      </c>
      <c r="E19" s="16" t="s">
        <v>737</v>
      </c>
      <c r="F19" s="23"/>
      <c r="G19" s="23"/>
      <c r="H19" s="23"/>
      <c r="I19" s="23"/>
      <c r="J19" s="23"/>
    </row>
    <row r="20" ht="36.85" customHeight="1" spans="1:10">
      <c r="A20" s="17"/>
      <c r="B20" s="16" t="s">
        <v>737</v>
      </c>
      <c r="C20" s="16" t="s">
        <v>737</v>
      </c>
      <c r="D20" s="16" t="s">
        <v>737</v>
      </c>
      <c r="E20" s="16" t="s">
        <v>737</v>
      </c>
      <c r="F20" s="27"/>
      <c r="G20" s="27"/>
      <c r="H20" s="27"/>
      <c r="I20" s="27"/>
      <c r="J20" s="27"/>
    </row>
    <row r="21" spans="6:10">
      <c r="F21" s="28">
        <v>1</v>
      </c>
      <c r="G21" s="28">
        <v>2</v>
      </c>
      <c r="H21" s="28"/>
      <c r="I21" s="28"/>
      <c r="J21" s="28"/>
    </row>
  </sheetData>
  <sheetProtection formatCells="0" insertHyperlinks="0" autoFilter="0"/>
  <mergeCells count="20">
    <mergeCell ref="C1:E1"/>
    <mergeCell ref="A1:A2"/>
    <mergeCell ref="A3:A12"/>
    <mergeCell ref="A13:A17"/>
    <mergeCell ref="A18:A20"/>
    <mergeCell ref="B1:B2"/>
    <mergeCell ref="C6:C11"/>
    <mergeCell ref="D6:D11"/>
    <mergeCell ref="E3:E5"/>
    <mergeCell ref="E6:E11"/>
    <mergeCell ref="F1:F2"/>
    <mergeCell ref="F3:F20"/>
    <mergeCell ref="G1:G2"/>
    <mergeCell ref="G3:G20"/>
    <mergeCell ref="H1:H2"/>
    <mergeCell ref="H3:H20"/>
    <mergeCell ref="I1:I2"/>
    <mergeCell ref="I3:I20"/>
    <mergeCell ref="J1:J2"/>
    <mergeCell ref="J3:J20"/>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AKRFnkkUtoTSeyJs:019908"/>
  <rangeList sheetStid="3" master=""/>
  <rangeList sheetStid="4" master="AKRFnkkUtoTSeyJs:019908"/>
  <rangeList sheetStid="6" master=""/>
</allowEditUser>
</file>

<file path=customXml/item2.xml><?xml version="1.0" encoding="utf-8"?>
<dvExts xmlns="http://www.wps.cn/et/2023/dataValidationExt" xmlns:s="http://schemas.openxmlformats.org/spreadsheetml/2006/main">
  <dvExt uuid="{5543fad6-de82-49ba-b44f-49595aefac6e}">
    <list multiSupport="0" colorSupport="1"/>
  </dvExt>
  <dvExt uuid="{a24475e9-2440-487d-8b60-bcce40f9da1c}">
    <list multiSupport="1" colorSupport="1"/>
  </dvExt>
</dvExts>
</file>

<file path=customXml/item3.xml><?xml version="1.0" encoding="utf-8"?>
<autofilters xmlns="https://web.wps.cn/et/2018/main">
  <sheetItem sheetStid="1">
    <filterData filterID="AKRFnkkUtoTSeyJs:017573">
      <hiddenRange rowFrom="1" rowTo="2"/>
      <hiddenRange rowFrom="4" rowTo="7"/>
      <hiddenRange rowFrom="9" rowTo="10"/>
      <hiddenRange rowFrom="12" rowTo="21"/>
      <hiddenRange rowFrom="23" rowTo="24"/>
      <hiddenRange rowFrom="26" rowTo="36"/>
      <hiddenRange rowFrom="38" rowTo="73"/>
    </filterData>
    <filterData filterID="AKRFnkkUtoTSeyJs:024796">
      <hiddenRange rowFrom="1" rowTo="3"/>
      <hiddenRange rowFrom="5" rowTo="5"/>
      <hiddenRange rowFrom="8" rowTo="12"/>
      <hiddenRange rowFrom="15" rowTo="22"/>
      <hiddenRange rowFrom="24" rowTo="26"/>
      <hiddenRange rowFrom="28" rowTo="38"/>
      <hiddenRange rowFrom="43" rowTo="73"/>
    </filterData>
    <filterData filterID="AKRFnkkUtoTSeyJs:019040"/>
    <filterData filterID="AKRFnkkUtoTSeyJs:023824"/>
    <filterData filterID="AKRFnkkUtoTSeyJs:017611">
      <hiddenRange rowFrom="1" rowTo="46"/>
      <hiddenRange rowFrom="51" rowTo="73"/>
    </filterData>
    <filterData filterID="AKRFnkkUtoTSeyJs:019747">
      <hiddenRange rowFrom="1" rowTo="2"/>
      <hiddenRange rowFrom="4" rowTo="7"/>
      <hiddenRange rowFrom="9" rowTo="9"/>
      <hiddenRange rowFrom="11" rowTo="21"/>
      <hiddenRange rowFrom="23" rowTo="36"/>
      <hiddenRange rowFrom="38" rowTo="73"/>
    </filterData>
    <filterData filterID="AKRFnkkUtoTSeyJs:019521">
      <hiddenRange rowFrom="1" rowTo="5"/>
      <hiddenRange rowFrom="7" rowTo="11"/>
      <hiddenRange rowFrom="13" rowTo="40"/>
      <hiddenRange rowFrom="43" rowTo="44"/>
      <hiddenRange rowFrom="47" rowTo="73"/>
    </filterData>
    <filterData filterID="AKRFnkkUtoTSeyJs:015964"/>
    <filterData filterID="AKRFnkkUtoTSeyJs:005772">
      <hiddenRange rowFrom="15" rowTo="15"/>
      <hiddenRange rowFrom="28" rowTo="28"/>
      <hiddenRange rowFrom="33" rowTo="42"/>
      <hiddenRange rowFrom="45" rowTo="73"/>
    </filterData>
    <filterData filterID="AKRFnkkUtoTSeyJs:010713">
      <hiddenRange rowFrom="3" rowTo="3"/>
      <hiddenRange rowFrom="8" rowTo="8"/>
      <hiddenRange rowFrom="10" rowTo="10"/>
      <hiddenRange rowFrom="14" rowTo="14"/>
      <hiddenRange rowFrom="16" rowTo="18"/>
      <hiddenRange rowFrom="23" rowTo="24"/>
      <hiddenRange rowFrom="27" rowTo="27"/>
      <hiddenRange rowFrom="31" rowTo="36"/>
      <hiddenRange rowFrom="45" rowTo="45"/>
      <hiddenRange rowFrom="50" rowTo="73"/>
    </filterData>
    <filterData filterID="AKRFnkkUtoTSeyJs:019642">
      <hiddenRange rowFrom="1" rowTo="25"/>
      <hiddenRange rowFrom="27" rowTo="42"/>
      <hiddenRange rowFrom="45" rowTo="46"/>
      <hiddenRange rowFrom="50" rowTo="73"/>
    </filterData>
    <filterData filterID="AKRFnkkUtoTSeyJs:018386">
      <hiddenRange rowFrom="1" rowTo="3"/>
      <hiddenRange rowFrom="5" rowTo="8"/>
      <hiddenRange rowFrom="10" rowTo="12"/>
      <hiddenRange rowFrom="15" rowTo="15"/>
      <hiddenRange rowFrom="19" rowTo="22"/>
      <hiddenRange rowFrom="24" rowTo="24"/>
      <hiddenRange rowFrom="26" rowTo="28"/>
      <hiddenRange rowFrom="33" rowTo="39"/>
      <hiddenRange rowFrom="41" rowTo="46"/>
      <hiddenRange rowFrom="48" rowTo="73"/>
    </filterData>
    <filterData filterID="AKRFnkkUtoTSeyJs:019908"/>
    <filterData filterID="AKRFnkkUtoTSeyJs:019503">
      <hiddenRange rowFrom="1" rowTo="10"/>
      <hiddenRange rowFrom="12" rowTo="14"/>
      <hiddenRange rowFrom="16" rowTo="17"/>
      <hiddenRange rowFrom="19" rowTo="19"/>
      <hiddenRange rowFrom="26" rowTo="42"/>
      <hiddenRange rowFrom="44" rowTo="73"/>
    </filterData>
    <filterData filterID="AKRFnkkUtoTSeyJs:017436">
      <hiddenRange rowFrom="1" rowTo="3"/>
      <hiddenRange rowFrom="5" rowTo="38"/>
      <hiddenRange rowFrom="41" rowTo="73"/>
    </filterData>
    <filterData filterID="AKRFnkkUtoTSeyJs:K1101894"/>
    <filterData filterID="AKRFnkkUtoTSeyJs:019227">
      <hiddenRange rowFrom="1" rowTo="25"/>
      <hiddenRange rowFrom="27" rowTo="42"/>
      <hiddenRange rowFrom="45" rowTo="73"/>
    </filterData>
    <filterData filterID="AKRFnkkUtoTSeyJs:018896"/>
    <filterData filterID="AKRFnkkUtoTSeyJs:017098">
      <hiddenRange rowFrom="1" rowTo="3"/>
      <hiddenRange rowFrom="5" rowTo="5"/>
      <hiddenRange rowFrom="8" rowTo="12"/>
      <hiddenRange rowFrom="15" rowTo="22"/>
      <hiddenRange rowFrom="24" rowTo="26"/>
      <hiddenRange rowFrom="28" rowTo="38"/>
      <hiddenRange rowFrom="43" rowTo="73"/>
    </filterData>
    <filterData filterID="AKRFnkkUtoTSeyJs:012191">
      <hiddenRange rowFrom="3" rowTo="4"/>
      <hiddenRange rowFrom="6" rowTo="8"/>
      <hiddenRange rowFrom="10" rowTo="15"/>
      <hiddenRange rowFrom="18" rowTo="51"/>
      <hiddenRange rowFrom="53" rowTo="73"/>
    </filterData>
    <filterData filterID="AKRFnkkUtoTSeyJs:016516"/>
    <filterData filterID="AKRFnkkUtoTSeyJs:022651">
      <hiddenRange rowFrom="2" rowTo="3"/>
      <hiddenRange rowFrom="10" rowTo="11"/>
      <hiddenRange rowFrom="15" rowTo="15"/>
      <hiddenRange rowFrom="26" rowTo="26"/>
      <hiddenRange rowFrom="28" rowTo="28"/>
      <hiddenRange rowFrom="33" rowTo="36"/>
      <hiddenRange rowFrom="39" rowTo="39"/>
      <hiddenRange rowFrom="41" rowTo="42"/>
      <hiddenRange rowFrom="45" rowTo="45"/>
      <hiddenRange rowFrom="48" rowTo="48"/>
      <hiddenRange rowFrom="50" rowTo="73"/>
    </filterData>
    <filterData filterID="AKRFnkkUtoTSeyJs:024868"/>
    <filterData filterID="AKRFnkkUtoTSeyJs:019375"/>
    <autofilterInfo filterID="AKRFnkkUtoTSeyJs:024796">
      <autoFilter xmlns="http://schemas.openxmlformats.org/spreadsheetml/2006/main" ref="A1:V74">
        <filterColumn colId="14">
          <customFilters>
            <customFilter operator="equal" val="戚挺"/>
            <customFilter operator="equal" val="王轮樟"/>
          </customFilters>
        </filterColumn>
        <filterColumn colId="17">
          <customFilters>
            <customFilter operator="equal" val="是"/>
          </customFilters>
        </filterColumn>
      </autoFilter>
    </autofilterInfo>
    <autofilterInfo filterID="AKRFnkkUtoTSeyJs:017573">
      <autoFilter xmlns="http://schemas.openxmlformats.org/spreadsheetml/2006/main" ref="A1:V74">
        <filterColumn colId="14">
          <customFilters>
            <customFilter operator="equal" val="姚忠兵"/>
            <customFilter operator="equal" val="张天翼"/>
          </customFilters>
        </filterColumn>
      </autoFilter>
    </autofilterInfo>
    <autofilterInfo filterID="AKRFnkkUtoTSeyJs:017436">
      <autoFilter xmlns="http://schemas.openxmlformats.org/spreadsheetml/2006/main" ref="A1:V74">
        <filterColumn colId="14">
          <customFilters>
            <customFilter operator="equal" val="王轮樟"/>
          </customFilters>
        </filterColumn>
      </autoFilter>
    </autofilterInfo>
    <autofilterInfo filterID="AKRFnkkUtoTSeyJs:012191">
      <autoFilter xmlns="http://schemas.openxmlformats.org/spreadsheetml/2006/main" ref="A1:V74">
        <filterColumn colId="14">
          <customFilters>
            <customFilter operator="equal" val="张弦"/>
          </customFilters>
        </filterColumn>
        <filterColumn colId="17">
          <customFilters>
            <customFilter operator="equal" val="是"/>
          </customFilters>
        </filterColumn>
      </autoFilter>
    </autofilterInfo>
    <autofilterInfo filterID="AKRFnkkUtoTSeyJs:017098">
      <autoFilter xmlns="http://schemas.openxmlformats.org/spreadsheetml/2006/main" ref="A1:V74">
        <filterColumn colId="14">
          <customFilters>
            <customFilter operator="equal" val="戚挺"/>
            <customFilter operator="equal" val="王轮樟"/>
          </customFilters>
        </filterColumn>
        <filterColumn colId="17">
          <customFilters>
            <customFilter operator="equal" val="是"/>
          </customFilters>
        </filterColumn>
      </autoFilter>
    </autofilterInfo>
    <autofilterInfo filterID="AKRFnkkUtoTSeyJs:022651">
      <autoFilter xmlns="http://schemas.openxmlformats.org/spreadsheetml/2006/main" ref="A1:V74">
        <filterColumn colId="14">
          <filters>
            <filter val="姚忠兵"/>
            <filter val="张弦"/>
            <filter val="戚挺"/>
            <filter val="王轮樟"/>
          </filters>
        </filterColumn>
      </autoFilter>
    </autofilterInfo>
    <autofilterInfo filterID="AKRFnkkUtoTSeyJs:019227">
      <autoFilter xmlns="http://schemas.openxmlformats.org/spreadsheetml/2006/main" ref="A1:V74">
        <filterColumn colId="14">
          <customFilters>
            <customFilter operator="equal" val="毕成功"/>
          </customFilters>
        </filterColumn>
      </autoFilter>
    </autofilterInfo>
    <autofilterInfo filterID="AKRFnkkUtoTSeyJs:005772">
      <autoFilter xmlns="http://schemas.openxmlformats.org/spreadsheetml/2006/main" ref="A1:V74">
        <filterColumn colId="0">
          <filters>
            <filter val="香港金控FICC"/>
            <filter val="中央交易室"/>
            <filter val="资金运营部"/>
            <filter val="固定收益部"/>
          </filters>
        </filterColumn>
        <filterColumn colId="14">
          <filters>
            <filter val="陈治平"/>
            <filter val="姚忠兵"/>
            <filter val="张弦"/>
            <filter val="戚挺"/>
            <filter val="张天翼"/>
            <filter val="王轮樟"/>
          </filters>
        </filterColumn>
      </autoFilter>
    </autofilterInfo>
    <autofilterInfo filterID="AKRFnkkUtoTSeyJs:017611">
      <autoFilter xmlns="http://schemas.openxmlformats.org/spreadsheetml/2006/main" ref="A1:V74">
        <filterColumn colId="13">
          <customFilters>
            <customFilter operator="equal" val="姜玉珠"/>
          </customFilters>
        </filterColumn>
      </autoFilter>
    </autofilterInfo>
    <autofilterInfo filterID="AKRFnkkUtoTSeyJs:019521">
      <autoFilter xmlns="http://schemas.openxmlformats.org/spreadsheetml/2006/main" ref="A1:V74">
        <filterColumn colId="13">
          <customFilters>
            <customFilter operator="equal" val="曾慧聪"/>
          </customFilters>
        </filterColumn>
        <filterColumn colId="18">
          <filters>
            <filter val="预计0425迭代完成交付"/>
            <filter val="预计0328迭代完成交付"/>
            <filter val="预计0523迭代之后完成交付"/>
          </filters>
        </filterColumn>
      </autoFilter>
    </autofilterInfo>
    <autofilterInfo filterID="AKRFnkkUtoTSeyJs:019747">
      <autoFilter xmlns="http://schemas.openxmlformats.org/spreadsheetml/2006/main" ref="A1:V74">
        <filterColumn colId="13">
          <customFilters>
            <customFilter operator="equal" val="刘佩金"/>
          </customFilters>
        </filterColumn>
      </autoFilter>
    </autofilterInfo>
    <autofilterInfo filterID="AKRFnkkUtoTSeyJs:019503">
      <autoFilter xmlns="http://schemas.openxmlformats.org/spreadsheetml/2006/main" ref="A1:V74">
        <filterColumn colId="17">
          <customFilters>
            <customFilter operator="equal" val="否"/>
          </customFilters>
        </filterColumn>
      </autoFilter>
    </autofilterInfo>
    <autofilterInfo filterID="AKRFnkkUtoTSeyJs:010713">
      <autoFilter xmlns="http://schemas.openxmlformats.org/spreadsheetml/2006/main" ref="A1:V74">
        <filterColumn colId="17">
          <customFilters>
            <customFilter operator="equal" val="是"/>
          </customFilters>
        </filterColumn>
      </autoFilter>
    </autofilterInfo>
    <autofilterInfo filterID="AKRFnkkUtoTSeyJs:018386">
      <autoFilter xmlns="http://schemas.openxmlformats.org/spreadsheetml/2006/main" ref="A1:V74">
        <filterColumn colId="14">
          <customFilters>
            <customFilter operator="equal" val="戚挺"/>
          </customFilters>
        </filterColumn>
      </autoFilter>
    </autofilterInfo>
    <autofilterInfo filterID="AKRFnkkUtoTSeyJs:019642">
      <autoFilter xmlns="http://schemas.openxmlformats.org/spreadsheetml/2006/main" ref="A1:V74">
        <filterColumn colId="14">
          <customFilters>
            <customFilter operator="equal" val="毕成功"/>
          </customFilters>
        </filterColumn>
      </autoFilter>
    </autofilterInfo>
  </sheetItem>
  <sheetItem sheetStid="3">
    <filterData filterID="AKRFnkkUtoTSeyJs:018386">
      <hiddenRange rowFrom="2" rowTo="4"/>
      <hiddenRange rowFrom="6" rowTo="7"/>
      <hiddenRange rowFrom="11" rowTo="12"/>
      <hiddenRange rowFrom="14" rowTo="14"/>
      <hiddenRange rowFrom="16" rowTo="20"/>
      <hiddenRange rowFrom="22" rowTo="22"/>
      <hiddenRange rowFrom="25" rowTo="26"/>
      <hiddenRange rowFrom="30" rowTo="31"/>
      <hiddenRange rowFrom="33" rowTo="34"/>
      <hiddenRange rowFrom="36" rowTo="37"/>
      <hiddenRange rowFrom="39" rowTo="39"/>
      <hiddenRange rowFrom="45" rowTo="48"/>
      <hiddenRange rowFrom="51" rowTo="62"/>
    </filterData>
    <filterData filterID="AKRFnkkUtoTSeyJs:019747">
      <hiddenRange rowFrom="2" rowTo="2"/>
      <hiddenRange rowFrom="16" rowTo="16"/>
      <hiddenRange rowFrom="18" rowTo="18"/>
      <hiddenRange rowFrom="21" rowTo="21"/>
      <hiddenRange rowFrom="23" rowTo="23"/>
      <hiddenRange rowFrom="25" rowTo="26"/>
      <hiddenRange rowFrom="30" rowTo="30"/>
      <hiddenRange rowFrom="32" rowTo="32"/>
      <hiddenRange rowFrom="41" rowTo="41"/>
      <hiddenRange rowFrom="45" rowTo="45"/>
      <hiddenRange rowFrom="47" rowTo="47"/>
      <hiddenRange rowFrom="51" rowTo="51"/>
    </filterData>
    <filterData filterID="AKRFnkkUtoTSeyJs:025407">
      <hiddenRange rowFrom="2" rowTo="6"/>
      <hiddenRange rowFrom="9" rowTo="13"/>
      <hiddenRange rowFrom="15" rowTo="15"/>
      <hiddenRange rowFrom="17" rowTo="17"/>
      <hiddenRange rowFrom="21" rowTo="27"/>
      <hiddenRange rowFrom="29" rowTo="33"/>
      <hiddenRange rowFrom="35" rowTo="62"/>
      <hiddenRange rowFrom="64" rowTo="64"/>
    </filterData>
    <filterData filterID="AKRFnkkUtoTSeyJs:012191"/>
    <filterData filterID="AKRFnkkUtoTSeyJs:025172">
      <hiddenRange rowFrom="2" rowTo="2"/>
      <hiddenRange rowFrom="16" rowTo="16"/>
      <hiddenRange rowFrom="18" rowTo="18"/>
      <hiddenRange rowFrom="23" rowTo="23"/>
      <hiddenRange rowFrom="26" rowTo="26"/>
      <hiddenRange rowFrom="30" rowTo="30"/>
      <hiddenRange rowFrom="32" rowTo="32"/>
      <hiddenRange rowFrom="34" rowTo="34"/>
      <hiddenRange rowFrom="36" rowTo="36"/>
      <hiddenRange rowFrom="41" rowTo="42"/>
      <hiddenRange rowFrom="45" rowTo="45"/>
      <hiddenRange rowFrom="47" rowTo="47"/>
    </filterData>
    <filterData filterID="AKRFnkkUtoTSeyJs:019040">
      <hiddenRange rowFrom="5" rowTo="11"/>
      <hiddenRange rowFrom="14" rowTo="24"/>
      <hiddenRange rowFrom="26" rowTo="29"/>
      <hiddenRange rowFrom="32" rowTo="56"/>
      <hiddenRange rowFrom="59" rowTo="63"/>
      <hiddenRange rowFrom="65" rowTo="65"/>
    </filterData>
    <filterData filterID="AKRFnkkUtoTSeyJs:016882">
      <hiddenRange rowFrom="2" rowTo="2"/>
      <hiddenRange rowFrom="16" rowTo="16"/>
      <hiddenRange rowFrom="18" rowTo="18"/>
      <hiddenRange rowFrom="23" rowTo="23"/>
      <hiddenRange rowFrom="26" rowTo="26"/>
      <hiddenRange rowFrom="30" rowTo="30"/>
      <hiddenRange rowFrom="32" rowTo="32"/>
      <hiddenRange rowFrom="34" rowTo="34"/>
      <hiddenRange rowFrom="36" rowTo="36"/>
      <hiddenRange rowFrom="41" rowTo="42"/>
      <hiddenRange rowFrom="45" rowTo="45"/>
      <hiddenRange rowFrom="47" rowTo="47"/>
    </filterData>
    <filterData filterID="AKRFnkkUtoTSeyJs:017573">
      <hiddenRange rowFrom="2" rowTo="6"/>
      <hiddenRange rowFrom="8" rowTo="13"/>
      <hiddenRange rowFrom="15" rowTo="15"/>
      <hiddenRange rowFrom="17" rowTo="17"/>
      <hiddenRange rowFrom="19" rowTo="33"/>
      <hiddenRange rowFrom="35" rowTo="62"/>
      <hiddenRange rowFrom="64" rowTo="64"/>
    </filterData>
    <filterData filterID="AKRFnkkUtoTSeyJs:017833">
      <hiddenRange rowFrom="2" rowTo="14"/>
      <hiddenRange rowFrom="16" rowTo="26"/>
      <hiddenRange rowFrom="29" rowTo="37"/>
      <hiddenRange rowFrom="39" rowTo="62"/>
      <hiddenRange rowFrom="64" rowTo="64"/>
    </filterData>
    <filterData filterID="AKRFnkkUtoTSeyJs:025246"/>
    <filterData filterID="AKRFnkkUtoTSeyJs:019769">
      <hiddenRange rowFrom="4" rowTo="7"/>
      <hiddenRange rowFrom="9" rowTo="11"/>
      <hiddenRange rowFrom="14" rowTo="24"/>
      <hiddenRange rowFrom="26" rowTo="27"/>
      <hiddenRange rowFrom="29" rowTo="46"/>
      <hiddenRange rowFrom="48" rowTo="56"/>
      <hiddenRange rowFrom="59" rowTo="62"/>
      <hiddenRange rowFrom="64" rowTo="64"/>
    </filterData>
    <filterData filterID="AKRFnkkUtoTSeyJs:010713">
      <hiddenRange rowFrom="2" rowTo="40"/>
      <hiddenRange rowFrom="43" rowTo="62"/>
      <hiddenRange rowFrom="64" rowTo="64"/>
    </filterData>
    <filterData filterID="AKRFnkkUtoTSeyJs:019908"/>
    <filterData filterID="AKRFnkkUtoTSeyJs:020057">
      <hiddenRange rowFrom="2" rowTo="7"/>
      <hiddenRange rowFrom="9" rowTo="32"/>
      <hiddenRange rowFrom="34" rowTo="47"/>
      <hiddenRange rowFrom="49" rowTo="50"/>
      <hiddenRange rowFrom="56" rowTo="58"/>
      <hiddenRange rowFrom="60" rowTo="65"/>
    </filterData>
    <filterData filterID="AKRFnkkUtoTSeyJs:018896">
      <hiddenRange rowFrom="2" rowTo="6"/>
      <hiddenRange rowFrom="8" rowTo="47"/>
      <hiddenRange rowFrom="49" rowTo="52"/>
      <hiddenRange rowFrom="54" rowTo="62"/>
      <hiddenRange rowFrom="64" rowTo="64"/>
    </filterData>
    <filterData filterID="AKRFnkkUtoTSeyJs:020013">
      <hiddenRange rowFrom="2" rowTo="3"/>
      <hiddenRange rowFrom="5" rowTo="5"/>
      <hiddenRange rowFrom="9" rowTo="9"/>
      <hiddenRange rowFrom="12" rowTo="12"/>
      <hiddenRange rowFrom="14" rowTo="16"/>
      <hiddenRange rowFrom="18" rowTo="18"/>
      <hiddenRange rowFrom="23" rowTo="24"/>
      <hiddenRange rowFrom="26" rowTo="26"/>
      <hiddenRange rowFrom="30" rowTo="30"/>
      <hiddenRange rowFrom="32" rowTo="32"/>
      <hiddenRange rowFrom="36" rowTo="36"/>
      <hiddenRange rowFrom="42" rowTo="42"/>
      <hiddenRange rowFrom="45" rowTo="45"/>
      <hiddenRange rowFrom="47" rowTo="47"/>
      <hiddenRange rowFrom="49" rowTo="49"/>
      <hiddenRange rowFrom="51" rowTo="51"/>
      <hiddenRange rowFrom="53" rowTo="54"/>
    </filterData>
    <filterData filterID="AKRFnkkUtoTSeyJs:017444">
      <hiddenRange rowFrom="2" rowTo="3"/>
      <hiddenRange rowFrom="5" rowTo="8"/>
      <hiddenRange rowFrom="10" rowTo="10"/>
      <hiddenRange rowFrom="12" rowTo="21"/>
      <hiddenRange rowFrom="23" rowTo="27"/>
      <hiddenRange rowFrom="29" rowTo="30"/>
      <hiddenRange rowFrom="32" rowTo="35"/>
      <hiddenRange rowFrom="38" rowTo="38"/>
      <hiddenRange rowFrom="40" rowTo="46"/>
      <hiddenRange rowFrom="48" rowTo="55"/>
      <hiddenRange rowFrom="57" rowTo="60"/>
      <hiddenRange rowFrom="62" rowTo="64"/>
    </filterData>
    <filterData filterID="AKRFnkkUtoTSeyJs:019375">
      <hiddenRange rowFrom="2" rowTo="26"/>
      <hiddenRange rowFrom="28" rowTo="28"/>
      <hiddenRange rowFrom="30" rowTo="48"/>
      <hiddenRange rowFrom="51" rowTo="62"/>
      <hiddenRange rowFrom="64" rowTo="64"/>
    </filterData>
    <filterData filterID="AKRFnkkUtoTSeyJs:019089">
      <hiddenRange rowFrom="2" rowTo="4"/>
      <hiddenRange rowFrom="7" rowTo="7"/>
      <hiddenRange rowFrom="9" rowTo="14"/>
      <hiddenRange rowFrom="16" rowTo="16"/>
      <hiddenRange rowFrom="18" rowTo="25"/>
      <hiddenRange rowFrom="27" rowTo="27"/>
      <hiddenRange rowFrom="29" rowTo="34"/>
      <hiddenRange rowFrom="36" rowTo="43"/>
      <hiddenRange rowFrom="47" rowTo="62"/>
      <hiddenRange rowFrom="64" rowTo="64"/>
    </filterData>
    <filterData filterID="AKRFnkkUtoTSeyJs:018458">
      <hiddenRange rowFrom="2" rowTo="3"/>
      <hiddenRange rowFrom="5" rowTo="5"/>
      <hiddenRange rowFrom="9" rowTo="9"/>
      <hiddenRange rowFrom="12" rowTo="12"/>
      <hiddenRange rowFrom="14" rowTo="15"/>
      <hiddenRange rowFrom="17" rowTo="18"/>
      <hiddenRange rowFrom="21" rowTo="21"/>
      <hiddenRange rowFrom="24" rowTo="26"/>
      <hiddenRange rowFrom="30" rowTo="30"/>
      <hiddenRange rowFrom="32" rowTo="32"/>
      <hiddenRange rowFrom="34" rowTo="37"/>
      <hiddenRange rowFrom="41" rowTo="42"/>
      <hiddenRange rowFrom="45" rowTo="45"/>
      <hiddenRange rowFrom="47" rowTo="47"/>
      <hiddenRange rowFrom="49" rowTo="49"/>
      <hiddenRange rowFrom="51" rowTo="51"/>
      <hiddenRange rowFrom="53" rowTo="54"/>
    </filterData>
    <filterData filterID="AKRFnkkUtoTSeyJs:019227">
      <hiddenRange rowFrom="2" rowTo="29"/>
      <hiddenRange rowFrom="32" rowTo="50"/>
      <hiddenRange rowFrom="52" rowTo="52"/>
      <hiddenRange rowFrom="56" rowTo="58"/>
      <hiddenRange rowFrom="61" rowTo="62"/>
      <hiddenRange rowFrom="64" rowTo="64"/>
    </filterData>
    <filterData filterID="AKRFnkkUtoTSeyJs:K1101894"/>
    <filterData filterID="AKRFnkkUtoTSeyJs:019712">
      <hiddenRange rowFrom="2" rowTo="7"/>
      <hiddenRange rowFrom="9" rowTo="27"/>
      <hiddenRange rowFrom="29" rowTo="32"/>
      <hiddenRange rowFrom="34" rowTo="47"/>
      <hiddenRange rowFrom="49" rowTo="50"/>
      <hiddenRange rowFrom="56" rowTo="58"/>
      <hiddenRange rowFrom="60" rowTo="62"/>
      <hiddenRange rowFrom="64" rowTo="64"/>
    </filterData>
    <filterData filterID="AKRFnkkUtoTSeyJs:017436"/>
    <filterData filterID="AKRFnkkUtoTSeyJs:018303"/>
    <filterData filterID="AKRFnkkUtoTSeyJs:024868"/>
    <filterData filterID="AKRFnkkUtoTSeyJs:019503">
      <hiddenRange rowFrom="2" rowTo="14"/>
      <hiddenRange rowFrom="16" rowTo="16"/>
      <hiddenRange rowFrom="18" rowTo="25"/>
      <hiddenRange rowFrom="27" rowTo="34"/>
      <hiddenRange rowFrom="36" rowTo="43"/>
      <hiddenRange rowFrom="47" rowTo="62"/>
      <hiddenRange rowFrom="64" rowTo="66"/>
    </filterData>
    <filterData filterID="AKRFnkkUtoTSeyJs:019864">
      <hiddenRange rowFrom="2" rowTo="7"/>
      <hiddenRange rowFrom="9" rowTo="32"/>
      <hiddenRange rowFrom="34" rowTo="47"/>
      <hiddenRange rowFrom="49" rowTo="50"/>
      <hiddenRange rowFrom="56" rowTo="58"/>
      <hiddenRange rowFrom="60" rowTo="65"/>
    </filterData>
    <filterData filterID="AKRFnkkUtoTSeyJs:017518"/>
    <filterData filterID="AKRFnkkUtoTSeyJs:023824"/>
    <filterData filterID="AKRFnkkUtoTSeyJs:016900">
      <hiddenRange rowFrom="4" rowTo="5"/>
      <hiddenRange rowFrom="7" rowTo="7"/>
      <hiddenRange rowFrom="9" rowTo="11"/>
      <hiddenRange rowFrom="13" rowTo="16"/>
      <hiddenRange rowFrom="18" rowTo="24"/>
      <hiddenRange rowFrom="27" rowTo="27"/>
      <hiddenRange rowFrom="29" rowTo="32"/>
      <hiddenRange rowFrom="34" rowTo="44"/>
      <hiddenRange rowFrom="47" rowTo="51"/>
      <hiddenRange rowFrom="53" rowTo="56"/>
      <hiddenRange rowFrom="59" rowTo="62"/>
    </filterData>
    <filterData filterID="AKRFnkkUtoTSeyJs:K1102051">
      <hiddenRange rowFrom="2" rowTo="5"/>
      <hiddenRange rowFrom="8" rowTo="13"/>
      <hiddenRange rowFrom="15" rowTo="15"/>
      <hiddenRange rowFrom="17" rowTo="17"/>
      <hiddenRange rowFrom="21" rowTo="33"/>
      <hiddenRange rowFrom="35" rowTo="66"/>
    </filterData>
    <filterData filterID="AKRFnkkUtoTSeyJs:017098">
      <hiddenRange rowFrom="2" rowTo="4"/>
      <hiddenRange rowFrom="6" rowTo="7"/>
      <hiddenRange rowFrom="11" rowTo="12"/>
      <hiddenRange rowFrom="14" rowTo="14"/>
      <hiddenRange rowFrom="16" rowTo="20"/>
      <hiddenRange rowFrom="22" rowTo="22"/>
      <hiddenRange rowFrom="25" rowTo="26"/>
      <hiddenRange rowFrom="30" rowTo="30"/>
      <hiddenRange rowFrom="34" rowTo="34"/>
      <hiddenRange rowFrom="36" rowTo="37"/>
      <hiddenRange rowFrom="39" rowTo="39"/>
      <hiddenRange rowFrom="45" rowTo="48"/>
      <hiddenRange rowFrom="51" rowTo="60"/>
    </filterData>
    <filterData filterID="AKRFnkkUtoTSeyJs:012729"/>
    <filterData filterID="AKRFnkkUtoTSeyJs:019521"/>
    <filterData filterID="AKRFnkkUtoTSeyJs:015964">
      <hiddenRange rowFrom="4" rowTo="4"/>
      <hiddenRange rowFrom="7" rowTo="7"/>
      <hiddenRange rowFrom="11" rowTo="11"/>
      <hiddenRange rowFrom="14" rowTo="14"/>
      <hiddenRange rowFrom="16" rowTo="16"/>
      <hiddenRange rowFrom="18" rowTo="20"/>
      <hiddenRange rowFrom="22" rowTo="22"/>
      <hiddenRange rowFrom="30" rowTo="31"/>
      <hiddenRange rowFrom="33" rowTo="34"/>
      <hiddenRange rowFrom="36" rowTo="37"/>
      <hiddenRange rowFrom="39" rowTo="39"/>
      <hiddenRange rowFrom="47" rowTo="48"/>
      <hiddenRange rowFrom="51" rowTo="51"/>
      <hiddenRange rowFrom="53" rowTo="56"/>
      <hiddenRange rowFrom="59" rowTo="62"/>
      <hiddenRange rowFrom="64" rowTo="64"/>
    </filterData>
    <autofilterInfo filterID="AKRFnkkUtoTSeyJs:019712">
      <autoFilter xmlns="http://schemas.openxmlformats.org/spreadsheetml/2006/main" ref="A2:X67">
        <filterColumn colId="10">
          <customFilters>
            <customFilter operator="equal" val="姜玉珠"/>
          </customFilters>
        </filterColumn>
      </autoFilter>
    </autofilterInfo>
    <autofilterInfo filterID="AKRFnkkUtoTSeyJs:019375">
      <autoFilter xmlns="http://schemas.openxmlformats.org/spreadsheetml/2006/main" ref="A2:X67">
        <filterColumn colId="10">
          <customFilters>
            <customFilter operator="equal" val="成楠"/>
          </customFilters>
        </filterColumn>
      </autoFilter>
    </autofilterInfo>
    <autofilterInfo filterID="AKRFnkkUtoTSeyJs:017444">
      <autoFilter xmlns="http://schemas.openxmlformats.org/spreadsheetml/2006/main" ref="A2:X67">
        <filterColumn colId="10">
          <filters>
            <filter val="钱高翔"/>
            <filter val="吴克易琼/钱高翔/夏清/朱泓飞"/>
            <filter val="钱高翔/朱泓飞"/>
          </filters>
        </filterColumn>
      </autoFilter>
    </autofilterInfo>
    <autofilterInfo filterID="AKRFnkkUtoTSeyJs:019089">
      <autoFilter xmlns="http://schemas.openxmlformats.org/spreadsheetml/2006/main" ref="A2:X67">
        <filterColumn colId="10">
          <customFilters>
            <customFilter operator="equal" val="胡于凡"/>
            <customFilter operator="equal" val="胡于凡/刘佩金"/>
          </customFilters>
        </filterColumn>
      </autoFilter>
    </autofilterInfo>
    <autofilterInfo filterID="AKRFnkkUtoTSeyJs:019769">
      <autoFilter xmlns="http://schemas.openxmlformats.org/spreadsheetml/2006/main" ref="A2:X67">
        <filterColumn colId="11">
          <customFilters>
            <customFilter operator="equal" val="场外对客Web端"/>
            <customFilter operator="equal" val="场外运营端（web）"/>
          </customFilters>
        </filterColumn>
      </autoFilter>
    </autofilterInfo>
    <autofilterInfo filterID="AKRFnkkUtoTSeyJs:010713">
      <autoFilter xmlns="http://schemas.openxmlformats.org/spreadsheetml/2006/main" ref="A2:X67">
        <filterColumn colId="8">
          <customFilters>
            <customFilter operator="equal" val="张俊"/>
          </customFilters>
        </filterColumn>
        <filterColumn colId="21">
          <filters blank="1"/>
        </filterColumn>
      </autoFilter>
    </autofilterInfo>
    <autofilterInfo filterID="AKRFnkkUtoTSeyJs:017833">
      <autoFilter xmlns="http://schemas.openxmlformats.org/spreadsheetml/2006/main" ref="A2:X67">
        <filterColumn colId="22">
          <customFilters>
            <customFilter operator="equal" val="习云飞、孙权"/>
            <customFilter operator="equal" val="姚团结 、赵昱、习云飞、孙权"/>
          </customFilters>
        </filterColumn>
      </autoFilter>
    </autofilterInfo>
    <autofilterInfo filterID="AKRFnkkUtoTSeyJs:017573">
      <autoFilter xmlns="http://schemas.openxmlformats.org/spreadsheetml/2006/main" ref="A2:X67">
        <filterColumn colId="9">
          <customFilters>
            <customFilter operator="equal" val="估值及风险计量"/>
          </customFilters>
        </filterColumn>
      </autoFilter>
    </autofilterInfo>
    <autofilterInfo filterID="AKRFnkkUtoTSeyJs:018386">
      <autoFilter xmlns="http://schemas.openxmlformats.org/spreadsheetml/2006/main" ref="A2:X67">
        <filterColumn colId="9">
          <customFilters>
            <customFilter operator="equal" val="交易"/>
          </customFilters>
        </filterColumn>
      </autoFilter>
    </autofilterInfo>
    <autofilterInfo filterID="AKRFnkkUtoTSeyJs:018458">
      <autoFilter xmlns="http://schemas.openxmlformats.org/spreadsheetml/2006/main" ref="A2:X67">
        <filterColumn colId="9">
          <customFilters>
            <customFilter operator="equal" val="估值及风险计量"/>
          </customFilters>
        </filterColumn>
      </autoFilter>
    </autofilterInfo>
    <autofilterInfo filterID="AKRFnkkUtoTSeyJs:019227">
      <autoFilter xmlns="http://schemas.openxmlformats.org/spreadsheetml/2006/main" ref="A2:X67">
        <filterColumn colId="8">
          <customFilters>
            <customFilter operator="equal" val="毕成功"/>
          </customFilters>
        </filterColumn>
      </autoFilter>
    </autofilterInfo>
    <autofilterInfo filterID="AKRFnkkUtoTSeyJs:018896">
      <autoFilter xmlns="http://schemas.openxmlformats.org/spreadsheetml/2006/main" ref="A2:X67">
        <filterColumn colId="22">
          <customFilters>
            <customFilter operator="equal" val="高宇航"/>
          </customFilters>
        </filterColumn>
      </autoFilter>
    </autofilterInfo>
    <autofilterInfo filterID="AKRFnkkUtoTSeyJs:020013">
      <autoFilter xmlns="http://schemas.openxmlformats.org/spreadsheetml/2006/main" ref="A2:X67">
        <filterColumn colId="9">
          <customFilters>
            <customFilter operator="equal" val="客需/交易后"/>
          </customFilters>
        </filterColumn>
      </autoFilter>
    </autofilterInfo>
    <autofilterInfo filterID="AKRFnkkUtoTSeyJs:020057">
      <autoFilter xmlns="http://schemas.openxmlformats.org/spreadsheetml/2006/main" ref="A2:X67">
        <filterColumn colId="10">
          <customFilters>
            <customFilter operator="equal" val="姜玉珠"/>
          </customFilters>
        </filterColumn>
      </autoFilter>
    </autofilterInfo>
    <autofilterInfo filterID="AKRFnkkUtoTSeyJs:019503">
      <autoFilter xmlns="http://schemas.openxmlformats.org/spreadsheetml/2006/main" ref="A2:X67">
        <filterColumn colId="7">
          <customFilters>
            <customFilter operator="equal" val="胡于凡"/>
          </customFilters>
        </filterColumn>
      </autoFilter>
    </autofilterInfo>
    <autofilterInfo filterID="AKRFnkkUtoTSeyJs:019864">
      <autoFilter xmlns="http://schemas.openxmlformats.org/spreadsheetml/2006/main" ref="A2:X67">
        <filterColumn colId="10">
          <customFilters>
            <customFilter operator="equal" val="姜玉珠"/>
          </customFilters>
        </filterColumn>
      </autoFilter>
    </autofilterInfo>
    <autofilterInfo filterID="AKRFnkkUtoTSeyJs:025172">
      <autoFilter xmlns="http://schemas.openxmlformats.org/spreadsheetml/2006/main" ref="A2:X67">
        <filterColumn colId="9">
          <customFilters>
            <customFilter operator="equal" val="估值及风险计量"/>
          </customFilters>
        </filterColumn>
      </autoFilter>
    </autofilterInfo>
    <autofilterInfo filterID="AKRFnkkUtoTSeyJs:K1102051">
      <autoFilter xmlns="http://schemas.openxmlformats.org/spreadsheetml/2006/main" ref="A2:X67">
        <filterColumn colId="10">
          <filters>
            <filter val="刘佩金/姜玉珠"/>
            <filter val="刘佩金"/>
            <filter val="胡于凡/刘佩金"/>
          </filters>
        </filterColumn>
      </autoFilter>
    </autofilterInfo>
    <autofilterInfo filterID="AKRFnkkUtoTSeyJs:017098">
      <autoFilter xmlns="http://schemas.openxmlformats.org/spreadsheetml/2006/main" ref="A2:X67">
        <filterColumn colId="9">
          <customFilters>
            <customFilter operator="equal" val="交易"/>
          </customFilters>
        </filterColumn>
      </autoFilter>
    </autofilterInfo>
    <autofilterInfo filterID="AKRFnkkUtoTSeyJs:016882">
      <autoFilter xmlns="http://schemas.openxmlformats.org/spreadsheetml/2006/main" ref="A2:X67">
        <filterColumn colId="9">
          <customFilters>
            <customFilter operator="equal" val="估值及风险计量"/>
          </customFilters>
        </filterColumn>
      </autoFilter>
    </autofilterInfo>
    <autofilterInfo filterID="AKRFnkkUtoTSeyJs:019747">
      <autoFilter xmlns="http://schemas.openxmlformats.org/spreadsheetml/2006/main" ref="A2:X67">
        <filterColumn colId="7">
          <customFilters>
            <customFilter operator="equal" val="胡于凡"/>
          </customFilters>
        </filterColumn>
      </autoFilter>
    </autofilterInfo>
    <autofilterInfo filterID="AKRFnkkUtoTSeyJs:015964">
      <autoFilter xmlns="http://schemas.openxmlformats.org/spreadsheetml/2006/main" ref="A2:X67">
        <filterColumn colId="9">
          <customFilters>
            <customFilter operator="equal" val="交易"/>
            <customFilter operator="equal" val="客需/交易后"/>
          </customFilters>
        </filterColumn>
      </autoFilter>
    </autofilterInfo>
    <autofilterInfo filterID="AKRFnkkUtoTSeyJs:025407">
      <autoFilter xmlns="http://schemas.openxmlformats.org/spreadsheetml/2006/main" ref="A2:X67">
        <filterColumn colId="10">
          <customFilters>
            <customFilter operator="equal" val="刘佩金"/>
            <customFilter operator="equal" val="刘佩金/姜玉珠"/>
          </customFilters>
        </filterColumn>
      </autoFilter>
    </autofilterInfo>
    <autofilterInfo filterID="AKRFnkkUtoTSeyJs:019040">
      <autoFilter xmlns="http://schemas.openxmlformats.org/spreadsheetml/2006/main" ref="A2:X67">
        <filterColumn colId="7">
          <customFilters>
            <customFilter operator="equal" val="夏清"/>
          </customFilters>
        </filterColumn>
      </autoFilter>
    </autofilterInfo>
    <autofilterInfo filterID="AKRFnkkUtoTSeyJs:016900">
      <autoFilter xmlns="http://schemas.openxmlformats.org/spreadsheetml/2006/main" ref="A2:X67">
        <filterColumn colId="9">
          <customFilters>
            <customFilter operator="equal" val="客需/交易后"/>
          </customFilters>
        </filterColumn>
      </autoFilter>
    </autofilterInfo>
  </sheetItem>
  <sheetItem sheetStid="4">
    <filterData filterID="AKRFnkkUtoTSeyJs:019040"/>
    <filterData filterID="AKRFnkkUtoTSeyJs:023824"/>
    <filterData filterID="AKRFnkkUtoTSeyJs:019375"/>
    <filterData filterID="AKRFnkkUtoTSeyJs:020057">
      <hiddenRange rowFrom="3" rowTo="17"/>
      <hiddenRange rowFrom="20" rowTo="22"/>
    </filterData>
    <filterData filterID="AKRFnkkUtoTSeyJs:019503"/>
    <filterData filterID="AKRFnkkUtoTSeyJs:019908"/>
    <autofilterInfo filterID="AKRFnkkUtoTSeyJs:020057">
      <autoFilter xmlns="http://schemas.openxmlformats.org/spreadsheetml/2006/main" ref="A3:I23">
        <filterColumn colId="6">
          <customFilters>
            <customFilter operator="equal" val="姜玉珠"/>
          </customFilters>
        </filterColumn>
      </autoFilter>
    </autofilterInfo>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fileId="" isFilterShared="0" coreConquerUserId="" isAutoUpdatePaused="0" filterType="user" isMergeTasksAutoUpdate="0" isInserPicAsAttachment="0"/>
  </woBookProps>
</woProps>
</file>

<file path=customXml/item5.xml><?xml version="1.0" encoding="utf-8"?>
<pixelators xmlns="https://web.wps.cn/et/2018/main" xmlns:s="http://schemas.openxmlformats.org/spreadsheetml/2006/main">
  <pixelatorList sheetStid="1"/>
  <pixelatorList sheetStid="3"/>
  <pixelatorList sheetStid="4"/>
  <pixelatorList sheetStid="6"/>
  <pixelatorList sheetStid="7"/>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76a6740-a502-43ae-9f28-c9e454320052}">
  <ds:schemaRefs>
    <ds:schemaRef ds:uri="http://www.wps.cn/et/2023/dataValidationExt"/>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WWO_wpscloud_20240821181913-a0e91bd6bf</Application>
  <HeadingPairs>
    <vt:vector size="2" baseType="variant">
      <vt:variant>
        <vt:lpstr>工作表</vt:lpstr>
      </vt:variant>
      <vt:variant>
        <vt:i4>4</vt:i4>
      </vt:variant>
    </vt:vector>
  </HeadingPairs>
  <TitlesOfParts>
    <vt:vector size="4" baseType="lpstr">
      <vt:lpstr>0328-需求列表</vt:lpstr>
      <vt:lpstr>需求澄清列表</vt:lpstr>
      <vt:lpstr>验收列表</vt:lpstr>
      <vt:lpstr>排期晾晒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021227</dc:creator>
  <cp:lastModifiedBy>021227</cp:lastModifiedBy>
  <dcterms:created xsi:type="dcterms:W3CDTF">2022-10-11T05:43:00Z</dcterms:created>
  <dcterms:modified xsi:type="dcterms:W3CDTF">2022-10-11T05:43:00Z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fileWhereFroms">
    <vt:lpwstr>PpjeLB1gRN0lwrPqMaCTkr76Me2l/MLswGyq6Vo+uIBeoNF4Cn0bnoIj/l4R1lk3x60yLW3bonMIZXhW9eOuQSKwwMXkSqioR7IohD7JHiKL1Kex5PfDuKQOg5o6epURpTfP/dk98wL0gSLKiNPuw2I1d5mqizvK0etAnhWygh7/L/uczoU8dnKqZ2n9hMl/08TlSTgT4gsLfsj4N5qnfHg08FCEbzCvQxRYqKX+AwlZJn9YV8x5Pf5zAXGgHCEgjEc88avIB/Ejf/zn6pmRiN4rF/NHnLDften8VfnmrDloa4JbpC4BKmMIpqBKopiEZHzRX58Wq13dQ/WBK6IMZe28z3wScGY83+dtpYlKcy+QS4kXgIl2ArLQcFT/k8xCYZrmA6+TR/BC+YhI5NAPA3XjSrCDIMrnnzAXgPo8qh4=</vt:lpwstr>
  </property>
</Properties>
</file>